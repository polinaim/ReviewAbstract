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Experiments" sheetId="3" state="visible" r:id="rId5"/>
    <sheet name="Drug classes" sheetId="4" state="visible" r:id="rId6"/>
    <sheet name="References" sheetId="5" state="visible" r:id="rId7"/>
  </sheets>
  <definedNames>
    <definedName function="false" hidden="true" localSheetId="2" name="_xlnm._FilterDatabase" vbProcedure="false">Experiments!$A$1:$T$83</definedName>
    <definedName function="false" hidden="true" localSheetId="4" name="_xlnm._FilterDatabase" vbProcedure="false">References!$A$1:$I$69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Source: manuscript, “Future directions &amp; Conclusions”, paragraph on animal models (Figure 3): “Of the 80 in vivo experiments (49 compounds, 68 studies) … 64% … 12% … 30 used a single dose, and 69% … 4 weeks or less.”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Formula: looked up from the 'Drug classes' sheet.</t>
        </r>
      </text>
    </comment>
    <comment ref="O1" authorId="0">
      <text>
        <r>
          <rPr>
            <sz val="10"/>
            <rFont val="Arial"/>
            <family val="2"/>
          </rPr>
          <t xml:space="preserve">Formula: bins column N (treatment duration).</t>
        </r>
      </text>
    </comment>
    <comment ref="T1" authorId="0">
      <text>
        <r>
          <rPr>
            <sz val="10"/>
            <rFont val="Arial"/>
            <family val="2"/>
          </rPr>
          <t xml:space="preserve">Formula: yes when the row is in Tables 1–3 and included in the figure.</t>
        </r>
      </text>
    </comment>
  </commentList>
</comments>
</file>

<file path=xl/sharedStrings.xml><?xml version="1.0" encoding="utf-8"?>
<sst xmlns="http://schemas.openxmlformats.org/spreadsheetml/2006/main" count="1547" uniqueCount="659">
  <si>
    <t xml:space="preserve">RGC Neuroprotection Wheel: source data</t>
  </si>
  <si>
    <t xml:space="preserve">Graphical abstract of Malahov et al., “Pharmacological targeting of TNF-α, IL-1β and IL-6 signaling in retinal ganglion cell degeneration”.</t>
  </si>
  <si>
    <t xml:space="preserve">Sheets</t>
  </si>
  <si>
    <t xml:space="preserve">Experiments: one row per in vivo experiment (study × compound × model/species × route). Columns E, O and T are formulas.</t>
  </si>
  <si>
    <t xml:space="preserve">Drug classes: drug class → pathway branch (Figure 2 colours) and table of the manuscript. Used by column E of Experiments.</t>
  </si>
  <si>
    <t xml:space="preserve">References: the 68 references cited for these experiments, numbered as in the manuscript (DOI as given there).</t>
  </si>
  <si>
    <t xml:space="preserve">Summary: counts per drug class (the wheel sectors) and a check of every number quoted in the manuscript text.</t>
  </si>
  <si>
    <t xml:space="preserve">Which rows are drawn</t>
  </si>
  <si>
    <t xml:space="preserve">The wheel shows rows with In wheel = yes (In Tables 1–3 = yes and Include in figure = yes): 80 experiments.</t>
  </si>
  <si>
    <t xml:space="preserve">Two curated rows are kept for transparency but not drawn: Etanercept [56] sonication-induced traumatic optic neuropathy (not in Table 1) and BIRB 796 [88] squirrel monkey (non-rodent arm, not in Table 2).</t>
  </si>
  <si>
    <t xml:space="preserve">Definitions</t>
  </si>
  <si>
    <t xml:space="preserve">Treatment duration = days from first to last dose, inclusive (single dose = 1 d; continuous dosing = until sacrifice; 1 month = 30 d; several arms = longest).</t>
  </si>
  <si>
    <t xml:space="preserve">Dosing group bins the duration: single dose (1 d), 2–7 d, 8–28 d, 1–3 months (29–90 d), &gt; 3 months; blank duration = not reported.</t>
  </si>
  <si>
    <t xml:space="preserve">Injury model (grouped) pools closely related models (e.g. partial and complete optic nerve crush; all episcleral vein OHT procedures).</t>
  </si>
  <si>
    <t xml:space="preserve">Model category: acute injury, induced ocular hypertension (OHT), or genetic / metabolic.</t>
  </si>
  <si>
    <t xml:space="preserve">RGC outcome summarises the RGC endpoint as reported: protective, partial, axonal only, no protection; or no RGC readout / not determined.</t>
  </si>
  <si>
    <t xml:space="preserve">How the figure is rebuilt</t>
  </si>
  <si>
    <t xml:space="preserve">scripts/prep.py reads this workbook → data/data.json; scripts/build.py builds index.html; scripts/render_graphical_abstract.py exports the 600 dpi figure.</t>
  </si>
  <si>
    <t xml:space="preserve">Colour key: blue text = values taken from the manuscript text for checking; black = data or formulas.</t>
  </si>
  <si>
    <t xml:space="preserve">Check against the manuscript text</t>
  </si>
  <si>
    <t xml:space="preserve">Quantity</t>
  </si>
  <si>
    <t xml:space="preserve">From the data (formula)</t>
  </si>
  <si>
    <t xml:space="preserve">Manuscript text</t>
  </si>
  <si>
    <t xml:space="preserve">Match</t>
  </si>
  <si>
    <t xml:space="preserve">Note</t>
  </si>
  <si>
    <t xml:space="preserve">Experiments in Tables 1–3 (drawn in the wheel)</t>
  </si>
  <si>
    <t xml:space="preserve">Compounds</t>
  </si>
  <si>
    <t xml:space="preserve">Studies (distinct references)</t>
  </si>
  <si>
    <t xml:space="preserve">Share using acute injury models</t>
  </si>
  <si>
    <t xml:space="preserve">Share using genetic or metabolic models</t>
  </si>
  <si>
    <t xml:space="preserve">10 of 80 = 12.5%. Standard rounding gives 13%; the text and Figure 3 say 12% (round-half-to-even). Consider writing 12.5%.</t>
  </si>
  <si>
    <t xml:space="preserve">Experiments with a single dose</t>
  </si>
  <si>
    <t xml:space="preserve">Repeated-dose regimens lasting 4 weeks or less</t>
  </si>
  <si>
    <t xml:space="preserve">Experiments per drug class (wheel sectors, sorted by drug class)</t>
  </si>
  <si>
    <t xml:space="preserve">Drug class</t>
  </si>
  <si>
    <t xml:space="preserve">Pathway</t>
  </si>
  <si>
    <t xml:space="preserve">Experiments</t>
  </si>
  <si>
    <t xml:space="preserve">Systemic</t>
  </si>
  <si>
    <t xml:space="preserve">Intravitreal</t>
  </si>
  <si>
    <t xml:space="preserve">Topical</t>
  </si>
  <si>
    <t xml:space="preserve">Subconj. / retrobulbar</t>
  </si>
  <si>
    <t xml:space="preserve">Systemic + intravitreal</t>
  </si>
  <si>
    <t xml:space="preserve">Acute injury</t>
  </si>
  <si>
    <t xml:space="preserve">Induced OHT</t>
  </si>
  <si>
    <t xml:space="preserve">Genetic / metabolic</t>
  </si>
  <si>
    <t xml:space="preserve">Single dose</t>
  </si>
  <si>
    <t xml:space="preserve">Repeated dosing</t>
  </si>
  <si>
    <t xml:space="preserve">Duration not reported</t>
  </si>
  <si>
    <t xml:space="preserve">TNF-α</t>
  </si>
  <si>
    <t xml:space="preserve">IL-1β</t>
  </si>
  <si>
    <t xml:space="preserve">IL-6</t>
  </si>
  <si>
    <t xml:space="preserve">RIPK1/3</t>
  </si>
  <si>
    <t xml:space="preserve">p38 MAPK</t>
  </si>
  <si>
    <t xml:space="preserve">JNK</t>
  </si>
  <si>
    <t xml:space="preserve">TLR4</t>
  </si>
  <si>
    <t xml:space="preserve">NF-κB</t>
  </si>
  <si>
    <t xml:space="preserve">P2X7</t>
  </si>
  <si>
    <t xml:space="preserve">NLRP3 / ASC</t>
  </si>
  <si>
    <t xml:space="preserve">JAK/STAT3</t>
  </si>
  <si>
    <t xml:space="preserve">Glial inhibition</t>
  </si>
  <si>
    <t xml:space="preserve">Rho kinase</t>
  </si>
  <si>
    <t xml:space="preserve">PDE</t>
  </si>
  <si>
    <t xml:space="preserve">Antioxidant</t>
  </si>
  <si>
    <t xml:space="preserve">Calcineurin</t>
  </si>
  <si>
    <t xml:space="preserve">COX</t>
  </si>
  <si>
    <t xml:space="preserve">A2A receptor</t>
  </si>
  <si>
    <t xml:space="preserve">Antibiotic</t>
  </si>
  <si>
    <t xml:space="preserve">Total</t>
  </si>
  <si>
    <t xml:space="preserve">Each row must add up: routes, model categories and dosing groups each sum to the Experiments column.</t>
  </si>
  <si>
    <t xml:space="preserve">ID</t>
  </si>
  <si>
    <t xml:space="preserve">Compound</t>
  </si>
  <si>
    <t xml:space="preserve">Compound (base name)</t>
  </si>
  <si>
    <t xml:space="preserve">Pathway (Figure 2 branch)</t>
  </si>
  <si>
    <t xml:space="preserve">Manuscript table</t>
  </si>
  <si>
    <t xml:space="preserve">Reference</t>
  </si>
  <si>
    <t xml:space="preserve">Species</t>
  </si>
  <si>
    <t xml:space="preserve">Model (as reported)</t>
  </si>
  <si>
    <t xml:space="preserve">Injury model (grouped)</t>
  </si>
  <si>
    <t xml:space="preserve">Model category</t>
  </si>
  <si>
    <t xml:space="preserve">Route</t>
  </si>
  <si>
    <t xml:space="preserve">Route detail</t>
  </si>
  <si>
    <t xml:space="preserve">Treatment duration (days)</t>
  </si>
  <si>
    <t xml:space="preserve">Dosing group</t>
  </si>
  <si>
    <t xml:space="preserve">Readout day</t>
  </si>
  <si>
    <t xml:space="preserve">RGC outcome</t>
  </si>
  <si>
    <t xml:space="preserve">In Tables 1–3</t>
  </si>
  <si>
    <t xml:space="preserve">Include in figure</t>
  </si>
  <si>
    <t xml:space="preserve">In wheel</t>
  </si>
  <si>
    <t xml:space="preserve">Etanercept</t>
  </si>
  <si>
    <t xml:space="preserve">Rat</t>
  </si>
  <si>
    <t xml:space="preserve">Episcleral vein cauterization OHT</t>
  </si>
  <si>
    <t xml:space="preserve">Episcleral vein OHT</t>
  </si>
  <si>
    <t xml:space="preserve">s.c. 0.3 or 1 mg/kg 3x/week from day 1 until sacrifice</t>
  </si>
  <si>
    <t xml:space="preserve">Protective</t>
  </si>
  <si>
    <t xml:space="preserve">yes</t>
  </si>
  <si>
    <t xml:space="preserve">Mouse</t>
  </si>
  <si>
    <t xml:space="preserve">Optic nerve crush</t>
  </si>
  <si>
    <t xml:space="preserve">s.c.</t>
  </si>
  <si>
    <t xml:space="preserve">Sonication-induced traumatic optic neuropathy</t>
  </si>
  <si>
    <t xml:space="preserve">Traumatic optic neuropathy (sonication)</t>
  </si>
  <si>
    <t xml:space="preserve">no</t>
  </si>
  <si>
    <t xml:space="preserve">Retinal ischemia (high IOP)</t>
  </si>
  <si>
    <t xml:space="preserve">Retinal ischemia / acute IOP elevation</t>
  </si>
  <si>
    <t xml:space="preserve">Infliximab</t>
  </si>
  <si>
    <t xml:space="preserve">Corneal alkali burn</t>
  </si>
  <si>
    <t xml:space="preserve">i.p.</t>
  </si>
  <si>
    <t xml:space="preserve">Rabbit</t>
  </si>
  <si>
    <t xml:space="preserve">i.v.</t>
  </si>
  <si>
    <t xml:space="preserve">Adalimumab</t>
  </si>
  <si>
    <t xml:space="preserve">Periocular</t>
  </si>
  <si>
    <t xml:space="preserve">subconjunctival</t>
  </si>
  <si>
    <t xml:space="preserve">XPro1595</t>
  </si>
  <si>
    <t xml:space="preserve">Hypertonic saline episcleral vein OHT</t>
  </si>
  <si>
    <t xml:space="preserve">Hypertonic saline OHT</t>
  </si>
  <si>
    <t xml:space="preserve">intravitreal 5 uL (50 ug/uL) at 1 and 2 weeks after OHT induction; RGCs at 3 weeks</t>
  </si>
  <si>
    <t xml:space="preserve">R7050</t>
  </si>
  <si>
    <t xml:space="preserve">i.p. daily</t>
  </si>
  <si>
    <t xml:space="preserve">single injection</t>
  </si>
  <si>
    <t xml:space="preserve">Combined</t>
  </si>
  <si>
    <t xml:space="preserve">i.p. daily + single intravitreal</t>
  </si>
  <si>
    <t xml:space="preserve">IL-1Ra</t>
  </si>
  <si>
    <t xml:space="preserve">Retinal ischemia/reperfusion (high IOP)</t>
  </si>
  <si>
    <t xml:space="preserve">single injection 5 min before ischemia</t>
  </si>
  <si>
    <t xml:space="preserve">Anakinra</t>
  </si>
  <si>
    <t xml:space="preserve">Blast traumatic brain injury</t>
  </si>
  <si>
    <t xml:space="preserve">i.p. daily (day -7 to +21)</t>
  </si>
  <si>
    <t xml:space="preserve">sgp130Fc</t>
  </si>
  <si>
    <t xml:space="preserve">STZ diabetes</t>
  </si>
  <si>
    <t xml:space="preserve">i.p. twice weekly x 2 weeks</t>
  </si>
  <si>
    <t xml:space="preserve">No RGC readout</t>
  </si>
  <si>
    <t xml:space="preserve">BAY 11-7082</t>
  </si>
  <si>
    <t xml:space="preserve">NMDA intravitreal</t>
  </si>
  <si>
    <t xml:space="preserve">NMDA excitotoxicity</t>
  </si>
  <si>
    <t xml:space="preserve">co-injected with NMDA</t>
  </si>
  <si>
    <t xml:space="preserve">IMD-0354</t>
  </si>
  <si>
    <t xml:space="preserve">i.p. for 6 consecutive weeks</t>
  </si>
  <si>
    <t xml:space="preserve">Partial</t>
  </si>
  <si>
    <t xml:space="preserve">Puerarin</t>
  </si>
  <si>
    <t xml:space="preserve">Col8a2-mutant neovascular glaucoma</t>
  </si>
  <si>
    <t xml:space="preserve">Col8a2 neovascular glaucoma</t>
  </si>
  <si>
    <t xml:space="preserve">intraocular injection 0.2 mg/kg (site not specified; classed as intravitreal)</t>
  </si>
  <si>
    <t xml:space="preserve">NLY01</t>
  </si>
  <si>
    <t xml:space="preserve">Microbead OHT</t>
  </si>
  <si>
    <t xml:space="preserve">s.c. twice weekly</t>
  </si>
  <si>
    <t xml:space="preserve">Metformin</t>
  </si>
  <si>
    <t xml:space="preserve">i.p. 10 or 50 mg/kg once daily; ischemia on day 4 of treatment; continued to day 7 after</t>
  </si>
  <si>
    <t xml:space="preserve">BIRB 796</t>
  </si>
  <si>
    <t xml:space="preserve">eye drops twice daily Mon-Fri</t>
  </si>
  <si>
    <t xml:space="preserve">DBA/2J</t>
  </si>
  <si>
    <t xml:space="preserve">eye drops once daily Mon-Fri</t>
  </si>
  <si>
    <t xml:space="preserve">No protection</t>
  </si>
  <si>
    <t xml:space="preserve">Squirrel monkey</t>
  </si>
  <si>
    <t xml:space="preserve">GRGM-13</t>
  </si>
  <si>
    <t xml:space="preserve">intragastric 0.4/0.8/1.6 g/kg/d, once daily x 9 days</t>
  </si>
  <si>
    <t xml:space="preserve">Ro3206145</t>
  </si>
  <si>
    <t xml:space="preserve">eye drops twice daily</t>
  </si>
  <si>
    <t xml:space="preserve">Axonal only</t>
  </si>
  <si>
    <t xml:space="preserve">SP600125</t>
  </si>
  <si>
    <t xml:space="preserve">Acute moderate IOP elevation (6 h)</t>
  </si>
  <si>
    <t xml:space="preserve">systemic, given during 6-h IOP elevation (~45 mmHg)</t>
  </si>
  <si>
    <t xml:space="preserve">Not determined</t>
  </si>
  <si>
    <t xml:space="preserve">Acute moderate IOP elevation (7 h)</t>
  </si>
  <si>
    <t xml:space="preserve">i.p. 7 doses (days 0-7)</t>
  </si>
  <si>
    <t xml:space="preserve">MCC950</t>
  </si>
  <si>
    <t xml:space="preserve">OPTN(E50K)</t>
  </si>
  <si>
    <t xml:space="preserve">single intravitreal injection (2 uL) after diabetes induction</t>
  </si>
  <si>
    <t xml:space="preserve">IC-100</t>
  </si>
  <si>
    <t xml:space="preserve">Oxygen-induced retinopathy</t>
  </si>
  <si>
    <t xml:space="preserve">single injection at P12</t>
  </si>
  <si>
    <t xml:space="preserve">i.p. P12/P14/P16</t>
  </si>
  <si>
    <t xml:space="preserve">TAK-242</t>
  </si>
  <si>
    <t xml:space="preserve">C34</t>
  </si>
  <si>
    <t xml:space="preserve">Hydrogel-induced OHT</t>
  </si>
  <si>
    <t xml:space="preserve">weekly from day -3</t>
  </si>
  <si>
    <t xml:space="preserve">JNJ47965567</t>
  </si>
  <si>
    <t xml:space="preserve">chronic eye drops</t>
  </si>
  <si>
    <t xml:space="preserve">A740003</t>
  </si>
  <si>
    <t xml:space="preserve">Chronic OHT (method n.s.)</t>
  </si>
  <si>
    <t xml:space="preserve">pre-injection</t>
  </si>
  <si>
    <t xml:space="preserve">Ripa-56</t>
  </si>
  <si>
    <t xml:space="preserve">Necrostatin-1</t>
  </si>
  <si>
    <t xml:space="preserve">GSK872</t>
  </si>
  <si>
    <t xml:space="preserve">RIC</t>
  </si>
  <si>
    <t xml:space="preserve">Acute high IOP ischemia</t>
  </si>
  <si>
    <t xml:space="preserve">single i.p. dose (5 ml/kg) immediately after ischemia</t>
  </si>
  <si>
    <t xml:space="preserve">GFAP antibody</t>
  </si>
  <si>
    <t xml:space="preserve">Episcleral vein occlusion OHT</t>
  </si>
  <si>
    <t xml:space="preserve">single injection at week 3</t>
  </si>
  <si>
    <t xml:space="preserve">Minocycline</t>
  </si>
  <si>
    <t xml:space="preserve">Optic nerve axotomy</t>
  </si>
  <si>
    <t xml:space="preserve">Optic nerve axotomy / transection</t>
  </si>
  <si>
    <t xml:space="preserve">i.p. 45 mg/kg/d x3 days before axotomy, then 22.5 mg/kg/d for 6-13 days after</t>
  </si>
  <si>
    <t xml:space="preserve">single i.p. 90 mg/kg 60 min before NMDA</t>
  </si>
  <si>
    <t xml:space="preserve">systemic for 25 weeks</t>
  </si>
  <si>
    <t xml:space="preserve">Optic nerve transection</t>
  </si>
  <si>
    <t xml:space="preserve">i.p. daily from day -3</t>
  </si>
  <si>
    <t xml:space="preserve">S100B intravitreal</t>
  </si>
  <si>
    <t xml:space="preserve">i.p. daily day -1 to 14</t>
  </si>
  <si>
    <t xml:space="preserve">Laser-induced OHT</t>
  </si>
  <si>
    <t xml:space="preserve">i.p. daily from day -1</t>
  </si>
  <si>
    <t xml:space="preserve">K-115</t>
  </si>
  <si>
    <t xml:space="preserve">9 doses day -3 to 14</t>
  </si>
  <si>
    <t xml:space="preserve">oral 1 mg/kg 15 min before crush, then once daily for 7 days from the day after</t>
  </si>
  <si>
    <t xml:space="preserve">Y-39983</t>
  </si>
  <si>
    <t xml:space="preserve">Axotomy + peripheral nerve graft</t>
  </si>
  <si>
    <t xml:space="preserve">single intravitreal injection (10 or 100 uM final) + Y-39983-soaked gelatin sponge at optic nerve stump, at surgery</t>
  </si>
  <si>
    <t xml:space="preserve">Ibudilast</t>
  </si>
  <si>
    <t xml:space="preserve">intravitreal 5 uL 500 uM at 1 and 2 weeks after OHT induction</t>
  </si>
  <si>
    <t xml:space="preserve">Tadalafil</t>
  </si>
  <si>
    <t xml:space="preserve">GC-1−/−</t>
  </si>
  <si>
    <t xml:space="preserve">oral chow 10 months</t>
  </si>
  <si>
    <t xml:space="preserve">oral chow day -3 to 28</t>
  </si>
  <si>
    <t xml:space="preserve">Ginkgo biloba (EGb 761)</t>
  </si>
  <si>
    <t xml:space="preserve">Ginkgo biloba</t>
  </si>
  <si>
    <t xml:space="preserve">drinking water 100 mg/kg/day from cauterization for 5 months</t>
  </si>
  <si>
    <t xml:space="preserve">intragastric daily from 2 h after crush until 4 weeks</t>
  </si>
  <si>
    <t xml:space="preserve">Ginkgo biloba (ginkgolides; DGMI)</t>
  </si>
  <si>
    <t xml:space="preserve">retrobulbar injection, 0.078 / 0.3125 / 1.25 mg/kg (male SD rats; schedule not in excerpt)</t>
  </si>
  <si>
    <t xml:space="preserve">Tempol</t>
  </si>
  <si>
    <t xml:space="preserve">osmotic mini-pump</t>
  </si>
  <si>
    <t xml:space="preserve">Partial optic nerve crush</t>
  </si>
  <si>
    <t xml:space="preserve">i.p. daily x 7</t>
  </si>
  <si>
    <t xml:space="preserve">Baicalein</t>
  </si>
  <si>
    <t xml:space="preserve">weekly from day 0</t>
  </si>
  <si>
    <t xml:space="preserve">7,8-Dihydroxyflavone</t>
  </si>
  <si>
    <t xml:space="preserve">Naringenin</t>
  </si>
  <si>
    <t xml:space="preserve">α-Lipoic acid</t>
  </si>
  <si>
    <t xml:space="preserve">single i.v. bolus</t>
  </si>
  <si>
    <t xml:space="preserve">diet 6-10 months (prevention arm: 11 months)</t>
  </si>
  <si>
    <t xml:space="preserve">Celastrol</t>
  </si>
  <si>
    <t xml:space="preserve">i.p. daily x 14</t>
  </si>
  <si>
    <t xml:space="preserve">i.p. 3x/week x 5 weeks</t>
  </si>
  <si>
    <t xml:space="preserve">Cyclosporine A</t>
  </si>
  <si>
    <t xml:space="preserve">i.p. 5 mg/kg/day from 24 h before ischemia, daily x 2 weeks</t>
  </si>
  <si>
    <t xml:space="preserve">Optic nerve transection + PN graft</t>
  </si>
  <si>
    <t xml:space="preserve">i.p. CsA 20 mg/kg every second day for 3 weeks</t>
  </si>
  <si>
    <t xml:space="preserve">FK506</t>
  </si>
  <si>
    <t xml:space="preserve">i.p. FK506 10 mg/kg every second day for 3 weeks</t>
  </si>
  <si>
    <t xml:space="preserve">Ketorolac</t>
  </si>
  <si>
    <t xml:space="preserve">ZM241385</t>
  </si>
  <si>
    <t xml:space="preserve">Episcleral vein ligation OHT</t>
  </si>
  <si>
    <t xml:space="preserve">intravitreal 1 uL 50 uM, 1 h after OHT surgery and again 1 week later</t>
  </si>
  <si>
    <t xml:space="preserve">Azithromycin</t>
  </si>
  <si>
    <t xml:space="preserve">single i.p.</t>
  </si>
  <si>
    <t xml:space="preserve">single i.p. injection 1 mg after microbead injection</t>
  </si>
  <si>
    <t xml:space="preserve">S3I-201</t>
  </si>
  <si>
    <t xml:space="preserve">Acute ocular hypertension (75 mmHg 1 h)</t>
  </si>
  <si>
    <t xml:space="preserve">i.p. 2 mg/kg before injury and day 2</t>
  </si>
  <si>
    <t xml:space="preserve">Stattic</t>
  </si>
  <si>
    <t xml:space="preserve">Hypertonic saline limbal vein OHT</t>
  </si>
  <si>
    <t xml:space="preserve">i.p. 5 mg/kg daily x 7 days</t>
  </si>
  <si>
    <t xml:space="preserve">SCH 58261</t>
  </si>
  <si>
    <t xml:space="preserve">single intravitreal injection 5 uL 100 nM, 2 h before ischemia</t>
  </si>
  <si>
    <t xml:space="preserve">Caffeine</t>
  </si>
  <si>
    <t xml:space="preserve">drinking water 1 g/L from 2 weeks before ischemia to endpoint</t>
  </si>
  <si>
    <t xml:space="preserve">i.p. daily x 28 days from 2 h before injury</t>
  </si>
  <si>
    <t xml:space="preserve">Table group</t>
  </si>
  <si>
    <t xml:space="preserve">TNF / RIPK / MAPK</t>
  </si>
  <si>
    <t xml:space="preserve">Cytokine antagonists</t>
  </si>
  <si>
    <t xml:space="preserve">TLR4 / IL-1R / NF-κB</t>
  </si>
  <si>
    <t xml:space="preserve">IL-6 / JAK-STAT3</t>
  </si>
  <si>
    <t xml:space="preserve">Pathway inhibitors</t>
  </si>
  <si>
    <t xml:space="preserve">P2X7 / NLRP3</t>
  </si>
  <si>
    <t xml:space="preserve">Broad anti-inflammatory</t>
  </si>
  <si>
    <t xml:space="preserve">Broad agents</t>
  </si>
  <si>
    <t xml:space="preserve">Ref.</t>
  </si>
  <si>
    <t xml:space="preserve">Citation</t>
  </si>
  <si>
    <t xml:space="preserve">Authors</t>
  </si>
  <si>
    <t xml:space="preserve">Title</t>
  </si>
  <si>
    <t xml:space="preserve">Journal</t>
  </si>
  <si>
    <t xml:space="preserve">Year</t>
  </si>
  <si>
    <t xml:space="preserve">DOI</t>
  </si>
  <si>
    <t xml:space="preserve">Experiments in wheel</t>
  </si>
  <si>
    <t xml:space="preserve">Full reference (as in manuscript)</t>
  </si>
  <si>
    <t xml:space="preserve">Cueva Vargas et al., 2015</t>
  </si>
  <si>
    <t xml:space="preserve">Cueva Vargas JL, Osswald IK, Unsain N, Aurousseau MR, Barker PA, Bowie D, et al</t>
  </si>
  <si>
    <t xml:space="preserve">Soluble Tumor Necrosis Factor Alpha Promotes Retinal Ganglion Cell Death in Glaucoma via Calcium-Permeable AMPA Receptor Activation</t>
  </si>
  <si>
    <t xml:space="preserve">J Neurosci</t>
  </si>
  <si>
    <t xml:space="preserve">https://doi.org/10.1523/JNEUROSCI.1273-15.2015</t>
  </si>
  <si>
    <t xml:space="preserve">Cueva Vargas JL, Osswald IK, Unsain N, Aurousseau MR, Barker PA, Bowie D, et al. Soluble Tumor Necrosis Factor Alpha Promotes Retinal Ganglion Cell Death in Glaucoma via Calcium-Permeable AMPA Receptor Activation. J Neurosci. 2015;35:12088–102.</t>
  </si>
  <si>
    <t xml:space="preserve">Roh et al., 2012</t>
  </si>
  <si>
    <t xml:space="preserve">Roh M, Zhang Y, Murakami Y, Thanos A, Lee SC, Vavvas DG, et al</t>
  </si>
  <si>
    <t xml:space="preserve">Etanercept, a Widely Used Inhibitor of Tumor Necrosis Factor-α (TNF- α), Prevents Retinal Ganglion Cell Loss in a Rat Model of Glaucoma</t>
  </si>
  <si>
    <t xml:space="preserve">PLoS One</t>
  </si>
  <si>
    <t xml:space="preserve">https://doi.org/10.1371/journal.pone.0040065</t>
  </si>
  <si>
    <t xml:space="preserve">Roh M, Zhang Y, Murakami Y, Thanos A, Lee SC, Vavvas DG, et al. Etanercept, a Widely Used Inhibitor of Tumor Necrosis Factor-α (TNF- α), Prevents Retinal Ganglion Cell Loss in a Rat Model of Glaucoma. PLoS One. 2012;7:e40065.</t>
  </si>
  <si>
    <t xml:space="preserve">Tse et al., 2018</t>
  </si>
  <si>
    <t xml:space="preserve">Tse BC, Dvoriantchikova G, Tao W, Gallo RA, Lee JY, Pappas S, et al</t>
  </si>
  <si>
    <t xml:space="preserve">Tumor Necrosis Factor Inhibition in the Acute Management of Traumatic Optic Neuropathy</t>
  </si>
  <si>
    <t xml:space="preserve">Invest Ophthalmol Vis Sci</t>
  </si>
  <si>
    <t xml:space="preserve">https://doi.org/10.1167/iovs.18-24431</t>
  </si>
  <si>
    <t xml:space="preserve">Tse BC, Dvoriantchikova G, Tao W, Gallo RA, Lee JY, Pappas S, et al. Tumor Necrosis Factor Inhibition in the Acute Management of Traumatic Optic Neuropathy. Invest Ophthalmol Vis Sci. 2018;59:2905–12.</t>
  </si>
  <si>
    <t xml:space="preserve">Bae et al., 2016</t>
  </si>
  <si>
    <t xml:space="preserve">Bae HW, Lee N, Seong GJ, Rho S, Hong S, Kim CY</t>
  </si>
  <si>
    <t xml:space="preserve">Protective effect of etanercept, an inhibitor of tumor necrosis factor-α, in a rat model of retinal ischemia</t>
  </si>
  <si>
    <t xml:space="preserve">BMC Ophthalmology</t>
  </si>
  <si>
    <t xml:space="preserve">https://doi.org/10.1186/s12886-016-0262-9</t>
  </si>
  <si>
    <t xml:space="preserve">Bae HW, Lee N, Seong GJ, Rho S, Hong S, Kim CY. Protective effect of etanercept, an inhibitor of tumor necrosis factor-α, in a rat model of retinal ischemia. BMC Ophthalmology. 2016;16:75.</t>
  </si>
  <si>
    <t xml:space="preserve">Cade et al., 2014</t>
  </si>
  <si>
    <t xml:space="preserve">Cade F, Paschalis EI, Regatieri CV, Vavvas DG, Dana R, Dohlman CH</t>
  </si>
  <si>
    <t xml:space="preserve">Alkali Burn to the Eye: Protection Using TNF-α Inhibition</t>
  </si>
  <si>
    <t xml:space="preserve">Cornea</t>
  </si>
  <si>
    <t xml:space="preserve">https://doi.org/10.1097/ICO.0000000000000071</t>
  </si>
  <si>
    <t xml:space="preserve">Cade F, Paschalis EI, Regatieri CV, Vavvas DG, Dana R, Dohlman CH. Alkali Burn to the Eye: Protection Using TNF-α Inhibition. Cornea. 2014;33:382.</t>
  </si>
  <si>
    <t xml:space="preserve">Paschalis et al., 2017</t>
  </si>
  <si>
    <t xml:space="preserve">Paschalis EI, Zhou C, Lei F, Scott N, Kapoulea V, Robert M-C, et al</t>
  </si>
  <si>
    <t xml:space="preserve">Mechanisms of Retinal Damage after Ocular Alkali Burns</t>
  </si>
  <si>
    <t xml:space="preserve">The American Journal of Pathology</t>
  </si>
  <si>
    <t xml:space="preserve">https://doi.org/10.1016/j.ajpath.2017.02.005</t>
  </si>
  <si>
    <t xml:space="preserve">Paschalis EI, Zhou C, Lei F, Scott N, Kapoulea V, Robert M-C, et al. Mechanisms of Retinal Damage after Ocular Alkali Burns. The American Journal of Pathology. 2017;187:1327–42.</t>
  </si>
  <si>
    <t xml:space="preserve">Paschalis et al., 2024</t>
  </si>
  <si>
    <t xml:space="preserve">Paschalis EI, Zhou C, Sharma J, Dohlman TH, Kim S, Lei F, et al</t>
  </si>
  <si>
    <t xml:space="preserve">The prophylactic value of TNF-α inhibitors against retinal cell apoptosis and optic nerve axon loss after corneal surgery or trauma</t>
  </si>
  <si>
    <t xml:space="preserve">Acta Ophthalmologica</t>
  </si>
  <si>
    <t xml:space="preserve">https://doi.org/10.1111/aos.15786</t>
  </si>
  <si>
    <t xml:space="preserve">Paschalis EI, Zhou C, Sharma J, Dohlman TH, Kim S, Lei F, et al. The prophylactic value of TNF-α inhibitors against retinal cell apoptosis and optic nerve axon loss after corneal surgery or trauma. Acta Ophthalmologica. 2024;102:e381–94.</t>
  </si>
  <si>
    <t xml:space="preserve">Lucas-Ruiz et al., 2019</t>
  </si>
  <si>
    <t xml:space="preserve">Lucas-Ruiz F, Galindo-Romero C, Salinas-Navarro M, González-Riquelme MJ, Vidal-Sanz M, Agudo Barriuso M</t>
  </si>
  <si>
    <t xml:space="preserve">Systemic and Intravitreal Antagonism of the TNFR1 Signaling Pathway Delays Axotomy-Induced Retinal Ganglion Cell Loss</t>
  </si>
  <si>
    <t xml:space="preserve">Front Neurosci</t>
  </si>
  <si>
    <t xml:space="preserve">https://doi.org/10.3389/fnins.2019.01096</t>
  </si>
  <si>
    <t xml:space="preserve">Lucas-Ruiz F, Galindo-Romero C, Salinas-Navarro M, González-Riquelme MJ, Vidal-Sanz M, Agudo Barriuso M. Systemic and Intravitreal Antagonism of the TNFR1 Signaling Pathway Delays Axotomy-Induced Retinal Ganglion Cell Loss. Front Neurosci. 2019;13:1096.</t>
  </si>
  <si>
    <t xml:space="preserve">Yoneda et al., 2001</t>
  </si>
  <si>
    <t xml:space="preserve">Yoneda S, Tanihara H, Kido N, Honda Y, Goto W, Hara H, et al</t>
  </si>
  <si>
    <t xml:space="preserve">Interleukin-1beta mediates ischemic injury in the rat retina</t>
  </si>
  <si>
    <t xml:space="preserve">Exp Eye Res</t>
  </si>
  <si>
    <t xml:space="preserve">https://doi.org/10.1006/exer.2001.1072</t>
  </si>
  <si>
    <t xml:space="preserve">Yoneda S, Tanihara H, Kido N, Honda Y, Goto W, Hara H, et al. Interleukin-1beta mediates ischemic injury in the rat retina. Exp Eye Res. 2001;73:661–7.</t>
  </si>
  <si>
    <t xml:space="preserve">Evans et al., 2020</t>
  </si>
  <si>
    <t xml:space="preserve">Evans LP, Woll AW, Wu S, Todd BP, Hehr N, Hedberg-Buenz A, et al</t>
  </si>
  <si>
    <t xml:space="preserve">Modulation of Post-Traumatic Immune Response Using the IL-1 Receptor Antagonist Anakinra for Improved Visual Outcomes</t>
  </si>
  <si>
    <t xml:space="preserve">J Neurotrauma</t>
  </si>
  <si>
    <t xml:space="preserve">https://doi.org/10.1089/neu.2019.6725</t>
  </si>
  <si>
    <t xml:space="preserve">Evans LP, Woll AW, Wu S, Todd BP, Hehr N, Hedberg-Buenz A, et al. Modulation of Post-Traumatic Immune Response Using the IL-1 Receptor Antagonist Anakinra for Improved Visual Outcomes. J Neurotrauma. 2020;37:1463–80.</t>
  </si>
  <si>
    <t xml:space="preserve">Robinson et al., 2020</t>
  </si>
  <si>
    <t xml:space="preserve">Robinson R, Srinivasan M, Shanmugam A, Ward A, Ganapathy V, Bloom J, et al</t>
  </si>
  <si>
    <t xml:space="preserve">Interleukin-6 trans-signaling inhibition prevents oxidative stress in a mouse model of early diabetic retinopathy</t>
  </si>
  <si>
    <t xml:space="preserve">Redox Biol</t>
  </si>
  <si>
    <t xml:space="preserve">https://doi.org/10.1016/j.redox.2020.101574</t>
  </si>
  <si>
    <t xml:space="preserve">Robinson R, Srinivasan M, Shanmugam A, Ward A, Ganapathy V, Bloom J, et al. Interleukin-6 trans-signaling inhibition prevents oxidative stress in a mouse model of early diabetic retinopathy. Redox Biol. 2020;34:101574.</t>
  </si>
  <si>
    <t xml:space="preserve">Sakamoto et al., 2017</t>
  </si>
  <si>
    <t xml:space="preserve">Sakamoto K, Okuwaki T, Ushikubo H, Mori A, Nakahara T, Ishii K</t>
  </si>
  <si>
    <t xml:space="preserve">Activation inhibitors of nuclear factor kappa B protect neurons against the NMDA-induced damage in the rat retina</t>
  </si>
  <si>
    <t xml:space="preserve">Journal of Pharmacological Sciences</t>
  </si>
  <si>
    <t xml:space="preserve">https://doi.org/10.1016/j.jphs.2017.09.031</t>
  </si>
  <si>
    <t xml:space="preserve">Sakamoto K, Okuwaki T, Ushikubo H, Mori A, Nakahara T, Ishii K. Activation inhibitors of nuclear factor kappa B protect neurons against the NMDA-induced damage in the rat retina. Journal of Pharmacological Sciences. 2017;135:72–80.</t>
  </si>
  <si>
    <t xml:space="preserve">Ding et al., 2023</t>
  </si>
  <si>
    <t xml:space="preserve">Ding X, Sun Z, Guo Y, Tang W, Shu Q, Xu G</t>
  </si>
  <si>
    <t xml:space="preserve">Inhibition of NF-κB ameliorates aberrant retinal glia activation and inflammatory responses in streptozotocin-induced diabetic rats</t>
  </si>
  <si>
    <t xml:space="preserve">Ann Transl Med</t>
  </si>
  <si>
    <t xml:space="preserve">https://doi.org/10.21037/atm-22-2204</t>
  </si>
  <si>
    <t xml:space="preserve">Ding X, Sun Z, Guo Y, Tang W, Shu Q, Xu G. Inhibition of NF-κB ameliorates aberrant retinal glia activation and inflammatory responses in streptozotocin-induced diabetic rats. Ann Transl Med. 2023;11:197.</t>
  </si>
  <si>
    <t xml:space="preserve">Wei et al., 2018</t>
  </si>
  <si>
    <t xml:space="preserve">Wei H-Y, Zhang Y-J, Zhao S-Z</t>
  </si>
  <si>
    <t xml:space="preserve">Puerarin regulates neovascular glaucoma through pigment epithelium‑derived growth factor‑induced NF‑κB signaling pathway</t>
  </si>
  <si>
    <t xml:space="preserve">Molecular Medicine Reports</t>
  </si>
  <si>
    <t xml:space="preserve">https://doi.org/10.3892/mmr.2018.8800</t>
  </si>
  <si>
    <t xml:space="preserve">Wei H-Y, Zhang Y-J, Zhao S-Z. Puerarin regulates neovascular glaucoma through pigment epithelium‑derived growth factor‑induced NF‑κB signaling pathway. Molecular Medicine Reports. Spandidos Publications; 2018;17:7866–74.</t>
  </si>
  <si>
    <t xml:space="preserve">Sterling et al., 2020</t>
  </si>
  <si>
    <t xml:space="preserve">Sterling JK, Adetunji MO, Guttha S, Bargoud AR, Uyhazi KE, Ross AG, et al</t>
  </si>
  <si>
    <t xml:space="preserve">GLP-1 Receptor Agonist NLY01 Reduces Retinal Inflammation and Neuron Death Secondary to Ocular Hypertension</t>
  </si>
  <si>
    <t xml:space="preserve">Cell Reports [Internet]</t>
  </si>
  <si>
    <t xml:space="preserve">https://doi.org/10.1016/j.celrep.2020.108271</t>
  </si>
  <si>
    <t xml:space="preserve">Sterling JK, Adetunji MO, Guttha S, Bargoud AR, Uyhazi KE, Ross AG, et al. GLP-1 Receptor Agonist NLY01 Reduces Retinal Inflammation and Neuron Death Secondary to Ocular Hypertension. Cell Reports [Internet]. Elsevier; 2020 [cited 2025 June 1];33.</t>
  </si>
  <si>
    <t xml:space="preserve">Satriano et al., 2025</t>
  </si>
  <si>
    <t xml:space="preserve">Satriano A, Martucci A, Adornetto A, Benfatto E, Tettamanti G, Bruno D, et al</t>
  </si>
  <si>
    <t xml:space="preserve">Metformin protects retinal ganglion cells in a preclinical model of retinal ischemia/reperfusion injury and stabilizes visual field in diabetic patients with glaucoma</t>
  </si>
  <si>
    <t xml:space="preserve">Cell Death Discov</t>
  </si>
  <si>
    <t xml:space="preserve">https://doi.org/10.1038/s41420-025-02824-y</t>
  </si>
  <si>
    <t xml:space="preserve">Satriano A, Martucci A, Adornetto A, Benfatto E, Tettamanti G, Bruno D, et al. Metformin protects retinal ganglion cells in a preclinical model of retinal ischemia/reperfusion injury and stabilizes visual field in diabetic patients with glaucoma. Cell Death Discov. Nature Publishing Group; 2025;11:546.</t>
  </si>
  <si>
    <t xml:space="preserve">Lambert et al., 2020</t>
  </si>
  <si>
    <t xml:space="preserve">Lambert WS, Pasini S, Collyer JW, Formichella CR, Ghose P, Carlson BJ, et al</t>
  </si>
  <si>
    <t xml:space="preserve">Of Mice and Monkeys: Neuroprotective Efficacy of the p38 Inhibitor BIRB 796 Depends on Model Duration in Experimental Glaucoma</t>
  </si>
  <si>
    <t xml:space="preserve">Sci Rep</t>
  </si>
  <si>
    <t xml:space="preserve">https://doi.org/10.1038/s41598-020-65374-6</t>
  </si>
  <si>
    <t xml:space="preserve">Lambert WS, Pasini S, Collyer JW, Formichella CR, Ghose P, Carlson BJ, et al. Of Mice and Monkeys: Neuroprotective Efficacy of the p38 Inhibitor BIRB 796 Depends on Model Duration in Experimental Glaucoma. Sci Rep. 2020;10:8535.</t>
  </si>
  <si>
    <t xml:space="preserve">Zhang et al., 2018</t>
  </si>
  <si>
    <t xml:space="preserve">Zhang Q, Wang W, Jiang Y, A-tuya, Dongmei, Li L, et al</t>
  </si>
  <si>
    <t xml:space="preserve">GRGM-13 comprising 13 plant and animal products, inhibited oxidative stress induced apoptosis in retinal ganglion cells by inhibiting P2RX7/p38 MAPK signaling pathway</t>
  </si>
  <si>
    <t xml:space="preserve">Biomedicine &amp; Pharmacotherapy</t>
  </si>
  <si>
    <t xml:space="preserve">https://doi.org/10.1016/j.biopha.2018.02.107</t>
  </si>
  <si>
    <t xml:space="preserve">Zhang Q, Wang W, Jiang Y, A-tuya, Dongmei, Li L, et al. GRGM-13 comprising 13 plant and animal products, inhibited oxidative stress induced apoptosis in retinal ganglion cells by inhibiting P2RX7/p38 MAPK signaling pathway. Biomedicine &amp; Pharmacotherapy. 2018;101:494–500.</t>
  </si>
  <si>
    <t xml:space="preserve">Dapper et al., 2013</t>
  </si>
  <si>
    <t xml:space="preserve">Dapper JD, Crish SD, Pang I-H, Calkins DJ</t>
  </si>
  <si>
    <t xml:space="preserve">Proximal Inhibition of p38 MAPK Stress Signaling Prevents Distal Axonopathy</t>
  </si>
  <si>
    <t xml:space="preserve">Neurobiol Dis</t>
  </si>
  <si>
    <t xml:space="preserve">https://doi.org/10.1016/j.nbd.2013.07.001</t>
  </si>
  <si>
    <t xml:space="preserve">Dapper JD, Crish SD, Pang I-H, Calkins DJ. Proximal Inhibition of p38 MAPK Stress Signaling Prevents Distal Axonopathy. Neurobiol Dis. 2013;59:26–37.</t>
  </si>
  <si>
    <t xml:space="preserve">Wang et al., 2025</t>
  </si>
  <si>
    <t xml:space="preserve">Wang S, Xiao R, Lu Y, Zhang Y, Zhang S, Liu X, et al</t>
  </si>
  <si>
    <t xml:space="preserve">Inhibiting NLRP3 Inflammasome Activation to Alleviate Retinal Inflammation and Protect the Optic Nerve of OPTN(E50K)Mice</t>
  </si>
  <si>
    <t xml:space="preserve">Inflammation</t>
  </si>
  <si>
    <t xml:space="preserve">https://doi.org/10.1007/s10753-024-02178-0</t>
  </si>
  <si>
    <t xml:space="preserve">Wang S, Xiao R, Lu Y, Zhang Y, Zhang S, Liu X, et al. Inhibiting NLRP3 Inflammasome Activation to Alleviate Retinal Inflammation and Protect the Optic Nerve of OPTN(E50K)Mice. Inflammation. 2025;48:2105–21.</t>
  </si>
  <si>
    <t xml:space="preserve">Ge et al., 2022</t>
  </si>
  <si>
    <t xml:space="preserve">Ge K, Wang Y, Li P, Li M, Zhang W, Dan H, et al</t>
  </si>
  <si>
    <t xml:space="preserve">Down-expression of the NLRP3 inflammasome delays the progression of diabetic retinopathy</t>
  </si>
  <si>
    <t xml:space="preserve">Microvascular Research</t>
  </si>
  <si>
    <t xml:space="preserve">https://doi.org/10.1016/j.mvr.2021.104265</t>
  </si>
  <si>
    <t xml:space="preserve">Ge K, Wang Y, Li P, Li M, Zhang W, Dan H, et al. Down-expression of the NLRP3 inflammasome delays the progression of diabetic retinopathy. Microvascular Research. 2022;139:104265.</t>
  </si>
  <si>
    <t xml:space="preserve">Yuan et al., 2024</t>
  </si>
  <si>
    <t xml:space="preserve">Yuan H, Chen S, Duncan MR, de Rivero Vaccari JP, Keane RW, Dalton Dietrich W, et al</t>
  </si>
  <si>
    <t xml:space="preserve">IC100, a humanized therapeutic monoclonal anti-ASC antibody alleviates oxygen-induced retinopathy in mice</t>
  </si>
  <si>
    <t xml:space="preserve">Angiogenesis</t>
  </si>
  <si>
    <t xml:space="preserve">https://doi.org/10.1007/s10456-024-09917-9</t>
  </si>
  <si>
    <t xml:space="preserve">Yuan H, Chen S, Duncan MR, de Rivero Vaccari JP, Keane RW, Dalton Dietrich W, et al. IC100, a humanized therapeutic monoclonal anti-ASC antibody alleviates oxygen-induced retinopathy in mice. Angiogenesis. 2024;27:423–40.</t>
  </si>
  <si>
    <t xml:space="preserve">Nakano et al., 2017</t>
  </si>
  <si>
    <t xml:space="preserve">Nakano Y, Shimazawa M, Ojino K, Izawa H, Takeuchi H, Inoue Y, et al</t>
  </si>
  <si>
    <t xml:space="preserve">Toll-like receptor 4 inhibitor protects against retinal ganglion cell damage induced by optic nerve crush in mice</t>
  </si>
  <si>
    <t xml:space="preserve">https://doi.org/10.1016/j.jphs.2017.02.012</t>
  </si>
  <si>
    <t xml:space="preserve">Nakano Y, Shimazawa M, Ojino K, Izawa H, Takeuchi H, Inoue Y, et al. Toll-like receptor 4 inhibitor protects against retinal ganglion cell damage induced by optic nerve crush in mice. Journal of Pharmacological Sciences. 2017;133:176–83.</t>
  </si>
  <si>
    <t xml:space="preserve">Lin et al., 2023</t>
  </si>
  <si>
    <t xml:space="preserve">Lin Z, Ru L, Wang H, Mao K</t>
  </si>
  <si>
    <t xml:space="preserve">TLR4 Inhibition Protects against Retinal Ganglion Cell Damage in Rats with Chronic Ocular Hypertension</t>
  </si>
  <si>
    <t xml:space="preserve">Discov Med</t>
  </si>
  <si>
    <t xml:space="preserve">https://doi.org/10.24976/Discov.Med.202335178.74</t>
  </si>
  <si>
    <t xml:space="preserve">Lin Z, Ru L, Wang H, Mao K. TLR4 Inhibition Protects against Retinal Ganglion Cell Damage in Rats with Chronic Ocular Hypertension. Discov Med. 2023;35:796–804.</t>
  </si>
  <si>
    <t xml:space="preserve">Romano et al., 2020</t>
  </si>
  <si>
    <t xml:space="preserve">Romano GL, Amato R, Lazzara F, Porciatti V, Chou T-H, Drago F, et al</t>
  </si>
  <si>
    <t xml:space="preserve">P2X7 receptor antagonism preserves retinal ganglion cells in glaucomatous mice</t>
  </si>
  <si>
    <t xml:space="preserve">Biochemical Pharmacology</t>
  </si>
  <si>
    <t xml:space="preserve">https://doi.org/10.1016/j.bcp.2020.114199</t>
  </si>
  <si>
    <t xml:space="preserve">Romano GL, Amato R, Lazzara F, Porciatti V, Chou T-H, Drago F, et al. P2X7 receptor antagonism preserves retinal ganglion cells in glaucomatous mice. Biochemical Pharmacology. 2020;180:114199.</t>
  </si>
  <si>
    <t xml:space="preserve">Zhu et al., 2024</t>
  </si>
  <si>
    <t xml:space="preserve">Zhu Y, Li S-Y, Zhang L-J, Lei B, Wang Y-C, Wang Z</t>
  </si>
  <si>
    <t xml:space="preserve">Neuroprotection of the P2X7 receptor antagonist A740003 on retinal ganglion cells in experimental glaucoma</t>
  </si>
  <si>
    <t xml:space="preserve">NeuroReport</t>
  </si>
  <si>
    <t xml:space="preserve">https://doi.org/10.1097/WNR.0000000000002071</t>
  </si>
  <si>
    <t xml:space="preserve">Zhu Y, Li S-Y, Zhang L-J, Lei B, Wang Y-C, Wang Z. Neuroprotection of the P2X7 receptor antagonist A740003 on retinal ganglion cells in experimental glaucoma. NeuroReport. 2024;35:822.</t>
  </si>
  <si>
    <t xml:space="preserve">Feng et al., 2024</t>
  </si>
  <si>
    <t xml:space="preserve">Feng L, Dai S, Zhang C, Zhang W, Zhu W, Wang C, et al</t>
  </si>
  <si>
    <t xml:space="preserve">Ripa-56 protects retinal ganglion cells in glutamate-induced retinal excitotoxic model of glaucoma</t>
  </si>
  <si>
    <t xml:space="preserve">https://doi.org/10.1038/s41598-024-54075-z</t>
  </si>
  <si>
    <t xml:space="preserve">Feng L, Dai S, Zhang C, Zhang W, Zhu W, Wang C, et al. Ripa-56 protects retinal ganglion cells in glutamate-induced retinal excitotoxic model of glaucoma. Sci Rep. Nature Publishing Group; 2024;14:3834.</t>
  </si>
  <si>
    <t xml:space="preserve">Liu et al., 2022</t>
  </si>
  <si>
    <t xml:space="preserve">Liu M, Li H, Yang R, Ji D, Xia X</t>
  </si>
  <si>
    <t xml:space="preserve">GSK872 and necrostatin-1 protect retinal ganglion cells against necroptosis through inhibition of RIP1/RIP3/MLKL pathway in glutamate-induced retinal excitotoxic model of glaucoma</t>
  </si>
  <si>
    <t xml:space="preserve">Journal of Neuroinflammation</t>
  </si>
  <si>
    <t xml:space="preserve">https://doi.org/10.1186/s12974-022-02626-4</t>
  </si>
  <si>
    <t xml:space="preserve">Liu M, Li H, Yang R, Ji D, Xia X. GSK872 and necrostatin-1 protect retinal ganglion cells against necroptosis through inhibition of RIP1/RIP3/MLKL pathway in glutamate-induced retinal excitotoxic model of glaucoma. Journal of Neuroinflammation. 2022;19:262.</t>
  </si>
  <si>
    <t xml:space="preserve">Do et al., 2017</t>
  </si>
  <si>
    <t xml:space="preserve">Do Y-J, Sul J-W, Jang K-H, Kang NS, Kim Y-H, Kim Y-G, et al</t>
  </si>
  <si>
    <t xml:space="preserve">A novel RIPK1 inhibitor that prevents retinal degeneration in a rat glaucoma model</t>
  </si>
  <si>
    <t xml:space="preserve">Experimental Cell Research</t>
  </si>
  <si>
    <t xml:space="preserve">https://doi.org/10.1016/j.yexcr.2017.08.012</t>
  </si>
  <si>
    <t xml:space="preserve">Do Y-J, Sul J-W, Jang K-H, Kang NS, Kim Y-H, Kim Y-G, et al. A novel RIPK1 inhibitor that prevents retinal degeneration in a rat glaucoma model. Experimental Cell Research. 2017;359:30–8.</t>
  </si>
  <si>
    <t xml:space="preserve">Liu et al., 2011</t>
  </si>
  <si>
    <t xml:space="preserve">Liu H, Sun H, Liu C</t>
  </si>
  <si>
    <t xml:space="preserve">Interference of the apoptotic signaling pathway in RGC stress response by SP600125 in moderate ocular hypertensive rats</t>
  </si>
  <si>
    <t xml:space="preserve">Chin J Physiol</t>
  </si>
  <si>
    <t xml:space="preserve">Liu H, Sun H, Liu C. Interference of the apoptotic signaling pathway in RGC stress response by SP600125 in moderate ocular hypertensive rats. Chin J Physiol. 2011;54:124–32.</t>
  </si>
  <si>
    <t xml:space="preserve">Sun et al., 2011</t>
  </si>
  <si>
    <t xml:space="preserve">Sun H, Wang Y, Pang I-H, Shen J, Tang X, Li Y, et al</t>
  </si>
  <si>
    <t xml:space="preserve">Protective effect of a JNK inhibitor against retinal ganglion cell loss induced by acute moderate ocular hypertension</t>
  </si>
  <si>
    <t xml:space="preserve">Mol Vis</t>
  </si>
  <si>
    <t xml:space="preserve">Sun H, Wang Y, Pang I-H, Shen J, Tang X, Li Y, et al. Protective effect of a JNK inhibitor against retinal ganglion cell loss induced by acute moderate ocular hypertension. Mol Vis. 2011;17:864–75.</t>
  </si>
  <si>
    <t xml:space="preserve">Kim et al., 2016</t>
  </si>
  <si>
    <t xml:space="preserve">Kim B-J, Silverman SM, Liu Y, Wordinger RJ, Pang I-H, Clark AF</t>
  </si>
  <si>
    <t xml:space="preserve">In vitro and in vivo neuroprotective effects of cJun N-terminal kinase inhibitors on retinal ganglion cells</t>
  </si>
  <si>
    <t xml:space="preserve">Molecular Neurodegeneration</t>
  </si>
  <si>
    <t xml:space="preserve">https://doi.org/10.1186/s13024-016-0093-4</t>
  </si>
  <si>
    <t xml:space="preserve">Kim B-J, Silverman SM, Liu Y, Wordinger RJ, Pang I-H, Clark AF. In vitro and in vivo neuroprotective effects of cJun N-terminal kinase inhibitors on retinal ganglion cells. Molecular Neurodegeneration. 2016;11:30.</t>
  </si>
  <si>
    <t xml:space="preserve">Wang et al., 2021</t>
  </si>
  <si>
    <t xml:space="preserve">Wang Y, Chen S, Wang J, Liu Y, Chen Y, Wen T, et al</t>
  </si>
  <si>
    <t xml:space="preserve">MicroRNA-93/STAT3 signalling pathway mediates retinal microglial activation and protects retinal ganglion cells in an acute ocular hypertension model</t>
  </si>
  <si>
    <t xml:space="preserve">Cell Death Dis</t>
  </si>
  <si>
    <t xml:space="preserve">https://doi.org/10.1038/s41419-020-03337-5</t>
  </si>
  <si>
    <t xml:space="preserve">Wang Y, Chen S, Wang J, Liu Y, Chen Y, Wen T, et al. MicroRNA-93/STAT3 signalling pathway mediates retinal microglial activation and protects retinal ganglion cells in an acute ocular hypertension model. Cell Death Dis. 2021;12:41.</t>
  </si>
  <si>
    <t xml:space="preserve">Husain et al., 2021</t>
  </si>
  <si>
    <t xml:space="preserve">Husain S, Zaidi SAH, Singh S, Guzman W, Mehrotra S</t>
  </si>
  <si>
    <t xml:space="preserve">Reduction of Neuroinflammation by δ-Opioids Via STAT3-Dependent Pathway in Chronic Glaucoma Model</t>
  </si>
  <si>
    <t xml:space="preserve">Front Pharmacol</t>
  </si>
  <si>
    <t xml:space="preserve">https://doi.org/10.3389/fphar.2021.601404</t>
  </si>
  <si>
    <t xml:space="preserve">Husain S, Zaidi SAH, Singh S, Guzman W, Mehrotra S. Reduction of Neuroinflammation by δ-Opioids Via STAT3-Dependent Pathway in Chronic Glaucoma Model. Front Pharmacol. 2021;12:601404.</t>
  </si>
  <si>
    <t xml:space="preserve">Guan et al., 2025</t>
  </si>
  <si>
    <t xml:space="preserve">Guan C, Zhang L, Fomo KN, Yang J, Pfeiffer N, Grus FH</t>
  </si>
  <si>
    <t xml:space="preserve">Targeting glial fibrillary acidic protein in glaucoma: a monoclonal antibody approach to modulate glial reactivity and neuroinflammation for neuroprotection</t>
  </si>
  <si>
    <t xml:space="preserve">J Neuroinflammation</t>
  </si>
  <si>
    <t xml:space="preserve">https://doi.org/10.1186/s12974-025-03482-8</t>
  </si>
  <si>
    <t xml:space="preserve">Guan C, Zhang L, Fomo KN, Yang J, Pfeiffer N, Grus FH. Targeting glial fibrillary acidic protein in glaucoma: a monoclonal antibody approach to modulate glial reactivity and neuroinflammation for neuroprotection. J Neuroinflammation. 2025;22:159.</t>
  </si>
  <si>
    <t xml:space="preserve">Baptiste et al., 2005</t>
  </si>
  <si>
    <t xml:space="preserve">Baptiste DC, Powell KJ, Jollimore C a</t>
  </si>
  <si>
    <t xml:space="preserve">B, Hamilton C, LeVatte TL, Archibald ML, et al</t>
  </si>
  <si>
    <t xml:space="preserve">Effects of minocycline and tetracycline on retinal ganglion cell survival after axotomy</t>
  </si>
  <si>
    <t xml:space="preserve">https://doi.org/10.1016/j.neuroscience.2005.04.011</t>
  </si>
  <si>
    <t xml:space="preserve">Baptiste DC, Powell KJ, Jollimore C a. B, Hamilton C, LeVatte TL, Archibald ML, et al. Effects of minocycline and tetracycline on retinal ganglion cell survival after axotomy. Neuroscience. 2005;134:575–82.</t>
  </si>
  <si>
    <t xml:space="preserve">Shimazawa et al., 2005</t>
  </si>
  <si>
    <t xml:space="preserve">Shimazawa M, Yamashima T, Agarwal N, Hara H</t>
  </si>
  <si>
    <t xml:space="preserve">Neuroprotective effects of minocycline against in vitro and in vivo retinal ganglion cell damage</t>
  </si>
  <si>
    <t xml:space="preserve">Brain Research</t>
  </si>
  <si>
    <t xml:space="preserve">https://doi.org/10.1016/j.brainres.2005.06.053</t>
  </si>
  <si>
    <t xml:space="preserve">Shimazawa M, Yamashima T, Agarwal N, Hara H. Neuroprotective effects of minocycline against in vitro and in vivo retinal ganglion cell damage. Brain Research. 2005;1053:185–94.</t>
  </si>
  <si>
    <t xml:space="preserve">Bosco et al., 2008</t>
  </si>
  <si>
    <t xml:space="preserve">Bosco A, Inman DM, Steele MR, Wu G, Soto I, Marsh-Armstrong N, et al</t>
  </si>
  <si>
    <t xml:space="preserve">Reduced Retina Microglial Activation and Improved Optic Nerve Integrity with Minocycline Treatment in the DBA/2J Mouse Model of Glaucoma</t>
  </si>
  <si>
    <t xml:space="preserve">https://doi.org/10.1167/iovs.07-1337</t>
  </si>
  <si>
    <t xml:space="preserve">Bosco A, Inman DM, Steele MR, Wu G, Soto I, Marsh-Armstrong N, et al. Reduced Retina Microglial Activation and Improved Optic Nerve Integrity with Minocycline Treatment in the DBA/2J Mouse Model of Glaucoma. Invest Ophthalmol Vis Sci. 2008;49:1437–46.</t>
  </si>
  <si>
    <t xml:space="preserve">Levkovitch-Verbin et al., 2014</t>
  </si>
  <si>
    <t xml:space="preserve">Levkovitch-Verbin H, Waserzoog Y, Vander S, Makarovsky D, Ilia P</t>
  </si>
  <si>
    <t xml:space="preserve">Minocycline mechanism of neuroprotection involves the Bcl-2 gene family in optic nerve transection</t>
  </si>
  <si>
    <t xml:space="preserve">International Journal of Neuroscience</t>
  </si>
  <si>
    <t xml:space="preserve">https://doi.org/10.3109/00207454.2013.878340</t>
  </si>
  <si>
    <t xml:space="preserve">Levkovitch-Verbin H, Waserzoog Y, Vander S, Makarovsky D, Ilia P. Minocycline mechanism of neuroprotection involves the Bcl-2 gene family in optic nerve transection. International Journal of Neuroscience. Taylor &amp; Francis; 2014;124:755–61.</t>
  </si>
  <si>
    <t xml:space="preserve">Grotegut et al., 2020</t>
  </si>
  <si>
    <t xml:space="preserve">Grotegut P, Perumal N, Kuehn S, Smit A, Dick HB, Grus FH, et al</t>
  </si>
  <si>
    <t xml:space="preserve">Minocycline reduces inflammatory response and cell death in a S100B retina degeneration model</t>
  </si>
  <si>
    <t xml:space="preserve">https://doi.org/10.1186/s12974-020-02012-y</t>
  </si>
  <si>
    <t xml:space="preserve">Grotegut P, Perumal N, Kuehn S, Smit A, Dick HB, Grus FH, et al. Minocycline reduces inflammatory response and cell death in a S100B retina degeneration model. Journal of Neuroinflammation. 2020;17:375.</t>
  </si>
  <si>
    <t xml:space="preserve">Sánchez-Migallón et al., 2024</t>
  </si>
  <si>
    <t xml:space="preserve">Sánchez-Migallón MDC, Di Pierdomenico J, Gallego-Ortega A, García-Ayuso D, Vidal-Sanz M, Agudo-Barriuso M, et al</t>
  </si>
  <si>
    <t xml:space="preserve">Minocycline Administration Does Not Have an Effect on Retinal Ganglion Cell Survival in a Murine Model of Ocular Hypertension</t>
  </si>
  <si>
    <t xml:space="preserve">Aging Dis</t>
  </si>
  <si>
    <t xml:space="preserve">https://doi.org/10.14336/AD.2024.0224</t>
  </si>
  <si>
    <t xml:space="preserve">Sánchez-Migallón MDC, Di Pierdomenico J, Gallego-Ortega A, García-Ayuso D, Vidal-Sanz M, Agudo-Barriuso M, et al. Minocycline Administration Does Not Have an Effect on Retinal Ganglion Cell Survival in a Murine Model of Ocular Hypertension. Aging Dis. 2024;15:2241–54.</t>
  </si>
  <si>
    <t xml:space="preserve">Quillen et al., 2024</t>
  </si>
  <si>
    <t xml:space="preserve">Quillen SE, Kimball EC, Ritter-Gordy KA, Du L, Yuan Z, Pease ME, et al</t>
  </si>
  <si>
    <t xml:space="preserve">The Mechanisms of Neuroprotection by Topical Rho Kinase Inhibition in Experimental Mouse Glaucoma and Optic Neuropathy</t>
  </si>
  <si>
    <t xml:space="preserve">https://doi.org/10.1167/iovs.65.13.43</t>
  </si>
  <si>
    <t xml:space="preserve">Quillen SE, Kimball EC, Ritter-Gordy KA, Du L, Yuan Z, Pease ME, et al. The Mechanisms of Neuroprotection by Topical Rho Kinase Inhibition in Experimental Mouse Glaucoma and Optic Neuropathy. Invest Ophthalmol Vis Sci. 2024;65:43.</t>
  </si>
  <si>
    <t xml:space="preserve">Yamamoto et al., 2014</t>
  </si>
  <si>
    <t xml:space="preserve">Yamamoto K, Maruyama K, Himori N, Omodaka K, Yokoyama Y, Shiga Y, et al</t>
  </si>
  <si>
    <t xml:space="preserve">The Novel Rho Kinase (ROCK) Inhibitor K-115: A New Candidate Drug for Neuroprotective Treatment in Glaucoma</t>
  </si>
  <si>
    <t xml:space="preserve">https://doi.org/10.1167/iovs.13-13842</t>
  </si>
  <si>
    <t xml:space="preserve">Yamamoto K, Maruyama K, Himori N, Omodaka K, Yokoyama Y, Shiga Y, et al. The Novel Rho Kinase (ROCK) Inhibitor K-115: A New Candidate Drug for Neuroprotective Treatment in Glaucoma. Invest Ophthalmol Vis Sci. 2014;55:7126–36.</t>
  </si>
  <si>
    <t xml:space="preserve">Tokushige et al., 2011</t>
  </si>
  <si>
    <t xml:space="preserve">Tokushige H, Waki M, Takayama Y, Tanihara H</t>
  </si>
  <si>
    <t xml:space="preserve">Effects of Y-39983, a Selective Rho-Associated Protein Kinase Inhibitor, on Blood Flow in Optic Nerve Head in Rabbits and Axonal Regeneration of Retinal Ganglion Cells in Rats</t>
  </si>
  <si>
    <t xml:space="preserve">Current Eye Research</t>
  </si>
  <si>
    <t xml:space="preserve">https://doi.org/10.3109/02713683.2011.599106</t>
  </si>
  <si>
    <t xml:space="preserve">Tokushige H, Waki M, Takayama Y, Tanihara H. Effects of Y-39983, a Selective Rho-Associated Protein Kinase Inhibitor, on Blood Flow in Optic Nerve Head in Rabbits and Axonal Regeneration of Retinal Ganglion Cells in Rats. Current Eye Research. Taylor &amp; Francis; 2011;36:964–70.</t>
  </si>
  <si>
    <t xml:space="preserve">Cueva Vargas et al., 2016</t>
  </si>
  <si>
    <t xml:space="preserve">Cueva Vargas JL, Belforte N, Di Polo A</t>
  </si>
  <si>
    <t xml:space="preserve">The glial cell modulator ibudilast attenuates neuroinflammation and enhances retinal ganglion cell viability in glaucoma through protein kinase A signaling</t>
  </si>
  <si>
    <t xml:space="preserve">Neurobiology of Disease</t>
  </si>
  <si>
    <t xml:space="preserve">https://doi.org/10.1016/j.nbd.2016.05.002</t>
  </si>
  <si>
    <t xml:space="preserve">Cueva Vargas JL, Belforte N, Di Polo A. The glial cell modulator ibudilast attenuates neuroinflammation and enhances retinal ganglion cell viability in glaucoma through protein kinase A signaling. Neurobiology of Disease. 2016;93:156–71.</t>
  </si>
  <si>
    <t xml:space="preserve">Wareham et al., 2019</t>
  </si>
  <si>
    <t xml:space="preserve">Wareham LK, Dordea AC, Schleifer G, Yao V, Batten A, Fei F, et al</t>
  </si>
  <si>
    <t xml:space="preserve">Increased Bioavailability of Cyclic Guanylate Monophosphate Prevents Retinal Ganglion Cell Degeneration</t>
  </si>
  <si>
    <t xml:space="preserve">https://doi.org/10.1016/j.nbd.2018.09.002</t>
  </si>
  <si>
    <t xml:space="preserve">Wareham LK, Dordea AC, Schleifer G, Yao V, Batten A, Fei F, et al. Increased Bioavailability of Cyclic Guanylate Monophosphate Prevents Retinal Ganglion Cell Degeneration. Neurobiol Dis. 2019;121:65–75.</t>
  </si>
  <si>
    <t xml:space="preserve">Hirooka et al., 2004</t>
  </si>
  <si>
    <t xml:space="preserve">Hirooka K, Tokuda M, Miyamoto O, Itano T, Baba T, Shiraga F</t>
  </si>
  <si>
    <t xml:space="preserve">The Ginkgo biloba extract (EGb 761) provides a neuroprotective effect on retinal ganglion cells in a rat model of chronic glaucoma</t>
  </si>
  <si>
    <t xml:space="preserve">https://doi.org/10.1076/ceyr.28.3.153.26246</t>
  </si>
  <si>
    <t xml:space="preserve">Hirooka K, Tokuda M, Miyamoto O, Itano T, Baba T, Shiraga F. The Ginkgo biloba extract (EGb 761) provides a neuroprotective effect on retinal ganglion cells in a rat model of chronic glaucoma. Current Eye Research. Taylor &amp; Francis; 2004;28:153–7.</t>
  </si>
  <si>
    <t xml:space="preserve">Ma et al., 2009</t>
  </si>
  <si>
    <t xml:space="preserve">Ma K, Xu L, Zhan H, Zhang S, Pu M, Jonas JB</t>
  </si>
  <si>
    <t xml:space="preserve">Dosage dependence of the effect of Ginkgo biloba on the rat retinal ganglion cell survival after optic nerve crush</t>
  </si>
  <si>
    <t xml:space="preserve">Eye (Lond)</t>
  </si>
  <si>
    <t xml:space="preserve">https://doi.org/10.1038/eye.2008.286</t>
  </si>
  <si>
    <t xml:space="preserve">Ma K, Xu L, Zhan H, Zhang S, Pu M, Jonas JB. Dosage dependence of the effect of Ginkgo biloba on the rat retinal ganglion cell survival after optic nerve crush. Eye (Lond). 2009;23:1598–604.</t>
  </si>
  <si>
    <t xml:space="preserve">Ma et al., 2010</t>
  </si>
  <si>
    <t xml:space="preserve">Ma K, Xu L, Zhang H, Zhang S, Pu M, Jonas JB</t>
  </si>
  <si>
    <t xml:space="preserve">The effect of ginkgo biloba on the rat retinal ganglion cell survival in the optic nerve crush model</t>
  </si>
  <si>
    <t xml:space="preserve">Acta Ophthalmol</t>
  </si>
  <si>
    <t xml:space="preserve">https://doi.org/10.1111/j.1755-3768.2008.01486.x</t>
  </si>
  <si>
    <t xml:space="preserve">Ma K, Xu L, Zhang H, Zhang S, Pu M, Jonas JB. The effect of ginkgo biloba on the rat retinal ganglion cell survival in the optic nerve crush model. Acta Ophthalmol. 2010;88:553–7.</t>
  </si>
  <si>
    <t xml:space="preserve">Fan et al., 2021</t>
  </si>
  <si>
    <t xml:space="preserve">Fan X-X, Cao Z-Y, Liu M-X, Liu W-J, Xu Z-L, Tu P-F, et al</t>
  </si>
  <si>
    <t xml:space="preserve">Diterpene Ginkgolides Meglumine Injection inhibits apoptosis induced by optic nerve crush injury via modulating MAPKs signaling pathways in retinal ganglion cells</t>
  </si>
  <si>
    <t xml:space="preserve">J Ethnopharmacol</t>
  </si>
  <si>
    <t xml:space="preserve">https://doi.org/10.1016/j.jep.2021.114371</t>
  </si>
  <si>
    <t xml:space="preserve">Fan X-X, Cao Z-Y, Liu M-X, Liu W-J, Xu Z-L, Tu P-F, et al. Diterpene Ginkgolides Meglumine Injection inhibits apoptosis induced by optic nerve crush injury via modulating MAPKs signaling pathways in retinal ganglion cells. J Ethnopharmacol. 2021;279:114371.</t>
  </si>
  <si>
    <t xml:space="preserve">Yang et al., 2016</t>
  </si>
  <si>
    <t xml:space="preserve">Yang X, Hondur G, Tezel G</t>
  </si>
  <si>
    <t xml:space="preserve">Antioxidant Treatment Limits Neuroinflammation in Experimental Glaucoma</t>
  </si>
  <si>
    <t xml:space="preserve">https://doi.org/10.1167/iovs.16-19153</t>
  </si>
  <si>
    <t xml:space="preserve">Yang X, Hondur G, Tezel G. Antioxidant Treatment Limits Neuroinflammation in Experimental Glaucoma. Invest Ophthalmol Vis Sci. 2016;57:2344–54.</t>
  </si>
  <si>
    <t xml:space="preserve">Thaler et al., 2011</t>
  </si>
  <si>
    <t xml:space="preserve">Thaler S, Fiedorowicz M, Grieb P, Wypych Z, Knap N, Borowik T, et al</t>
  </si>
  <si>
    <t xml:space="preserve">Neuroprotective effects of tempol acyl esters against retinal ganglion cell death in a rat partial optic nerve crush model</t>
  </si>
  <si>
    <t xml:space="preserve">https://doi.org/10.1111/j.1755-3768.2011.02180.x</t>
  </si>
  <si>
    <t xml:space="preserve">Thaler S, Fiedorowicz M, Grieb P, Wypych Z, Knap N, Borowik T, et al. Neuroprotective effects of tempol acyl esters against retinal ganglion cell death in a rat partial optic nerve crush model. Acta Ophthalmol. 2011;89:e555-560.</t>
  </si>
  <si>
    <t xml:space="preserve">Kyung et al., 2015</t>
  </si>
  <si>
    <t xml:space="preserve">Kyung H, Kwong JMK, Bekerman V, Gu L, Yadegari D, Caprioli J, et al</t>
  </si>
  <si>
    <t xml:space="preserve">Celastrol supports survival of retinal ganglion cells injured by optic nerve crush</t>
  </si>
  <si>
    <t xml:space="preserve">https://doi.org/10.1016/j.brainres.2015.03.032</t>
  </si>
  <si>
    <t xml:space="preserve">Kyung H, Kwong JMK, Bekerman V, Gu L, Yadegari D, Caprioli J, et al. Celastrol supports survival of retinal ganglion cells injured by optic nerve crush. Brain Research. 2015;1609:21–30.</t>
  </si>
  <si>
    <t xml:space="preserve">Gu et al., 2018</t>
  </si>
  <si>
    <t xml:space="preserve">Gu L, Kwong JMK, Yadegari D, Yu F, Caprioli J, Piri N</t>
  </si>
  <si>
    <t xml:space="preserve">The effect of celastrol on the ocular hypertension-induced degeneration of retinal ganglion cells</t>
  </si>
  <si>
    <t xml:space="preserve">Neurosci Lett</t>
  </si>
  <si>
    <t xml:space="preserve">https://doi.org/10.1016/j.neulet.2018.01.043</t>
  </si>
  <si>
    <t xml:space="preserve">Gu L, Kwong JMK, Yadegari D, Yu F, Caprioli J, Piri N. The effect of celastrol on the ocular hypertension-induced degeneration of retinal ganglion cells. Neurosci Lett. 2018;670:89–93.</t>
  </si>
  <si>
    <t xml:space="preserve">Pan et al., 2022</t>
  </si>
  <si>
    <t xml:space="preserve">Pan L, Sze YH, Yang M, Tang J, Zhao S, Yi I, et al</t>
  </si>
  <si>
    <t xml:space="preserve">Baicalein—A Potent Pro-Homeostatic Regulator of Microglia in Retinal Ischemic Injury</t>
  </si>
  <si>
    <t xml:space="preserve">Front Immunol</t>
  </si>
  <si>
    <t xml:space="preserve">https://doi.org/10.3389/fimmu.2022.837497</t>
  </si>
  <si>
    <t xml:space="preserve">Pan L, Sze YH, Yang M, Tang J, Zhao S, Yi I, et al. Baicalein—A Potent Pro-Homeostatic Regulator of Microglia in Retinal Ischemic Injury. Front Immunol. 2022;13:837497.</t>
  </si>
  <si>
    <t xml:space="preserve">Gallego-Ortega et al., 2021</t>
  </si>
  <si>
    <t xml:space="preserve">Gallego-Ortega A, Vidal-Villegas B, Norte-Muñoz M, Salinas-Navarro M, Avilés-Trigueros M, Villegas-Pérez MP, et al</t>
  </si>
  <si>
    <t xml:space="preserve">7,8-Dihydroxiflavone Maintains Retinal Functionality and Protects Various Types of RGCs in Adult Rats with Optic Nerve Transection</t>
  </si>
  <si>
    <t xml:space="preserve">Int J Mol Sci</t>
  </si>
  <si>
    <t xml:space="preserve">https://doi.org/10.3390/ijms222111815</t>
  </si>
  <si>
    <t xml:space="preserve">Gallego-Ortega A, Vidal-Villegas B, Norte-Muñoz M, Salinas-Navarro M, Avilés-Trigueros M, Villegas-Pérez MP, et al. 7,8-Dihydroxiflavone Maintains Retinal Functionality and Protects Various Types of RGCs in Adult Rats with Optic Nerve Transection. Int J Mol Sci. 2021;22:11815.</t>
  </si>
  <si>
    <t xml:space="preserve">Chen et al., 2021</t>
  </si>
  <si>
    <t xml:space="preserve">Chen J, Li H, Yang C, He Y, Arai T, Huang Q, et al</t>
  </si>
  <si>
    <t xml:space="preserve">Citrus Naringenin Increases Neuron Survival in Optic Nerve Crush Injury Model by Inhibiting JNK-JUN Pathway</t>
  </si>
  <si>
    <t xml:space="preserve">International Journal of Molecular Sciences</t>
  </si>
  <si>
    <t xml:space="preserve">https://doi.org/10.3390/ijms23010385</t>
  </si>
  <si>
    <t xml:space="preserve">Chen J, Li H, Yang C, He Y, Arai T, Huang Q, et al. Citrus Naringenin Increases Neuron Survival in Optic Nerve Crush Injury Model by Inhibiting JNK-JUN Pathway. International Journal of Molecular Sciences. 2021;23:385.</t>
  </si>
  <si>
    <t xml:space="preserve">Liu et al., 2016</t>
  </si>
  <si>
    <t xml:space="preserve">Liu R, Wang Y, Pu M, Gao J</t>
  </si>
  <si>
    <t xml:space="preserve">Effect of alpha lipoic acid on retinal ganglion cell survival in an optic nerve crush model</t>
  </si>
  <si>
    <t xml:space="preserve">Liu R, Wang Y, Pu M, Gao J. Effect of alpha lipoic acid on retinal ganglion cell survival in an optic nerve crush model. Mol Vis. 2016;22:1122–36.</t>
  </si>
  <si>
    <t xml:space="preserve">Inman et al., 2013</t>
  </si>
  <si>
    <t xml:space="preserve">Inman DM, Lambert WS, Calkins DJ, Horner PJ</t>
  </si>
  <si>
    <t xml:space="preserve">α-Lipoic acid antioxidant treatment limits glaucoma-related retinal ganglion cell death and dysfunction</t>
  </si>
  <si>
    <t xml:space="preserve">https://doi.org/10.1371/journal.pone.0065389</t>
  </si>
  <si>
    <t xml:space="preserve">Inman DM, Lambert WS, Calkins DJ, Horner PJ. α-Lipoic acid antioxidant treatment limits glaucoma-related retinal ganglion cell death and dysfunction. PLoS One. 2013;8:e65389.</t>
  </si>
  <si>
    <t xml:space="preserve">Kim et al., 2014</t>
  </si>
  <si>
    <t xml:space="preserve">Kim S, Shim M, Kim K-Y, Weinreb R, Wheeler L, Ju W-K</t>
  </si>
  <si>
    <t xml:space="preserve">Inhibition of cyclophilin D by cyclosporin A promotes retinal ganglion cell survival by preventing mitochondrial alteration in ischemic injury</t>
  </si>
  <si>
    <t xml:space="preserve">Cell death &amp; disease</t>
  </si>
  <si>
    <t xml:space="preserve">https://doi.org/10.1038/cddis.2014.80</t>
  </si>
  <si>
    <t xml:space="preserve">Kim S, Shim M, Kim K-Y, Weinreb R, Wheeler L, Ju W-K. Inhibition of cyclophilin D by cyclosporin A promotes retinal ganglion cell survival by preventing mitochondrial alteration in ischemic injury. Cell death &amp; disease. 2014;5:e1105.</t>
  </si>
  <si>
    <t xml:space="preserve">Cui et al., 2007</t>
  </si>
  <si>
    <t xml:space="preserve">Cui Q, Hodgetts SI, Hu Y, Luo J-M, Harvey AR</t>
  </si>
  <si>
    <t xml:space="preserve">Strain-specific differences in the effects of cyclosporin A and FK506 on the survival and regeneration of axotomized retinal ganglion cells in adult rats</t>
  </si>
  <si>
    <t xml:space="preserve">Neuroscience</t>
  </si>
  <si>
    <t xml:space="preserve">https://doi.org/10.1016/j.neuroscience.2007.02.034</t>
  </si>
  <si>
    <t xml:space="preserve">Cui Q, Hodgetts SI, Hu Y, Luo J-M, Harvey AR. Strain-specific differences in the effects of cyclosporin A and FK506 on the survival and regeneration of axotomized retinal ganglion cells in adult rats. Neuroscience. 2007;146:986–99.</t>
  </si>
  <si>
    <t xml:space="preserve">Nadal-Nicolás et al., 2016</t>
  </si>
  <si>
    <t xml:space="preserve">Nadal-Nicolás FM, Rodriguez-Villagra E, Bravo-Osuna I, Sobrado-Calvo P, Molina-Martínez I, Villegas-Pérez MP, et al</t>
  </si>
  <si>
    <t xml:space="preserve">Ketorolac Administration Attenuates Retinal Ganglion Cell Death After Axonal Injury</t>
  </si>
  <si>
    <t xml:space="preserve">https://doi.org/10.1167/iovs.15-18213</t>
  </si>
  <si>
    <t xml:space="preserve">Nadal-Nicolás FM, Rodriguez-Villagra E, Bravo-Osuna I, Sobrado-Calvo P, Molina-Martínez I, Villegas-Pérez MP, et al. Ketorolac Administration Attenuates Retinal Ganglion Cell Death After Axonal Injury. Invest Ophthalmol Vis Sci. 2016;57:1183–92.</t>
  </si>
  <si>
    <t xml:space="preserve">Liu X, Huang P, Wang J, Yang Z, Huang S, Luo X, et al</t>
  </si>
  <si>
    <t xml:space="preserve">The Effect of A2A Receptor Antagonist on Microglial Activation in Experimental Glaucoma</t>
  </si>
  <si>
    <t xml:space="preserve">https://doi.org/10.1167/iovs.15-18024</t>
  </si>
  <si>
    <t xml:space="preserve">Liu X, Huang P, Wang J, Yang Z, Huang S, Luo X, et al. The Effect of A2A Receptor Antagonist on Microglial Activation in Experimental Glaucoma. Invest Ophthalmol Vis Sci. 2016;57:776–86.</t>
  </si>
  <si>
    <t xml:space="preserve">Madeira et al., 2016</t>
  </si>
  <si>
    <t xml:space="preserve">Madeira MH, Boia R, Elvas F, Martins T, Cunha RA, Ambrósio AF, et al</t>
  </si>
  <si>
    <t xml:space="preserve">Selective A2A receptor antagonist prevents microglia-mediated neuroinflammation and protects retinal ganglion cells from high intraocular pressure–induced transient ischemic injury</t>
  </si>
  <si>
    <t xml:space="preserve">Translational Research</t>
  </si>
  <si>
    <t xml:space="preserve">https://doi.org/10.1016/j.trsl.2015.11.005</t>
  </si>
  <si>
    <t xml:space="preserve">Madeira MH, Boia R, Elvas F, Martins T, Cunha RA, Ambrósio AF, et al. Selective A2A receptor antagonist prevents microglia-mediated neuroinflammation and protects retinal ganglion cells from high intraocular pressure–induced transient ischemic injury. Translational Research. 2016;169:112–28.</t>
  </si>
  <si>
    <t xml:space="preserve">Boia et al., 2017</t>
  </si>
  <si>
    <t xml:space="preserve">Boia R, Elvas F, Madeira MH, Aires ID, Rodrigues-Neves AC, Tralhão P, et al</t>
  </si>
  <si>
    <t xml:space="preserve">Treatment with A2A receptor antagonist KW6002 and caffeine intake regulate microglia reactivity and protect retina against transient ischemic damage</t>
  </si>
  <si>
    <t xml:space="preserve">https://doi.org/10.1038/cddis.2017.451</t>
  </si>
  <si>
    <t xml:space="preserve">Boia R, Elvas F, Madeira MH, Aires ID, Rodrigues-Neves AC, Tralhão P, et al. Treatment with A2A receptor antagonist KW6002 and caffeine intake regulate microglia reactivity and protect retina against transient ischemic damage. Cell Death Dis. 2017;8:e3065.</t>
  </si>
  <si>
    <t xml:space="preserve">Varano et al., 2017</t>
  </si>
  <si>
    <t xml:space="preserve">Varano GP, Parisi V, Adornetto A, Cavaliere F, Amantea D, Nucci C, et al</t>
  </si>
  <si>
    <t xml:space="preserve">Post-ischemic treatment with azithromycin protects ganglion cells against retinal ischemia/reperfusion injury in the rat</t>
  </si>
  <si>
    <t xml:space="preserve">Varano GP, Parisi V, Adornetto A, Cavaliere F, Amantea D, Nucci C, et al. Post-ischemic treatment with azithromycin protects ganglion cells against retinal ischemia/reperfusion injury in the rat. Mol Vis. 2017;23:911–21.</t>
  </si>
  <si>
    <t xml:space="preserve">Sela et al., 2023</t>
  </si>
  <si>
    <t xml:space="preserve">Sela TC, Zahavi A, Friedman-Gohas M, Weiss S, Sternfeld A, Ilguisonis A, et al</t>
  </si>
  <si>
    <t xml:space="preserve">Azithromycin and Sildenafil May Have Protective Effects on Retinal Ganglion Cells via Different Pathways: Study in a Rodent Microbead Model</t>
  </si>
  <si>
    <t xml:space="preserve">Pharmaceuticals</t>
  </si>
  <si>
    <t xml:space="preserve">https://doi.org/10.3390/ph16040486</t>
  </si>
  <si>
    <t xml:space="preserve">Sela TC, Zahavi A, Friedman-Gohas M, Weiss S, Sternfeld A, Ilguisonis A, et al. Azithromycin and Sildenafil May Have Protective Effects on Retinal Ganglion Cells via Different Pathways: Study in a Rodent Microbead Model. Pharmaceuticals. Multidisciplinary Digital Publishing Institute; 2023;16:486.</t>
  </si>
  <si>
    <t xml:space="preserve">Zloto et al., 2022</t>
  </si>
  <si>
    <t xml:space="preserve">Zloto O, Zahavi A, Richard S, Friedman-Gohas M, Weiss S, Goldenberg-Cohen N</t>
  </si>
  <si>
    <t xml:space="preserve">Neuroprotective Effect of Azithromycin Following Induction of Optic Nerve Crush in Wild Type and Immunodeficient Mice</t>
  </si>
  <si>
    <t xml:space="preserve">https://doi.org/10.3390/ijms231911872</t>
  </si>
  <si>
    <t xml:space="preserve">Zloto O, Zahavi A, Richard S, Friedman-Gohas M, Weiss S, Goldenberg-Cohen N. Neuroprotective Effect of Azithromycin Following Induction of Optic Nerve Crush in Wild Type and Immunodeficient Mice. International Journal of Molecular Sciences. Multidisciplinary Digital Publishing Institute; 2022;23:11872.</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</si>
</sst>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11"/>
      <color rgb="FF666666"/>
      <name val="Arial"/>
      <family val="0"/>
      <charset val="1"/>
    </font>
    <font>
      <b val="true"/>
      <sz val="11"/>
      <color rgb="FFFFFFFF"/>
      <name val="Arial"/>
      <family val="0"/>
      <charset val="1"/>
    </font>
    <font>
      <sz val="11"/>
      <color rgb="FF0000FF"/>
      <name val="Arial"/>
      <family val="0"/>
      <charset val="1"/>
    </font>
    <font>
      <sz val="11"/>
      <color rgb="FF9A6A12"/>
      <name val="Arial"/>
      <family val="0"/>
      <charset val="1"/>
    </font>
    <font>
      <sz val="10"/>
      <name val="Arial"/>
      <family val="2"/>
    </font>
  </fonts>
  <fills count="3">
    <fill>
      <patternFill patternType="none"/>
    </fill>
    <fill>
      <patternFill patternType="gray125"/>
    </fill>
    <fill>
      <patternFill patternType="solid">
        <fgColor rgb="FF1F6B74"/>
        <bgColor rgb="FF008080"/>
      </patternFill>
    </fill>
  </fills>
  <borders count="2">
    <border diagonalUp="false" diagonalDown="false">
      <left/>
      <right/>
      <top/>
      <bottom/>
      <diagonal/>
    </border>
    <border diagonalUp="false" diagonalDown="false">
      <left/>
      <right/>
      <top style="thin">
        <color rgb="FFC8D0D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6B7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A6A12"/>
      <rgbColor rgb="FF800080"/>
      <rgbColor rgb="FF1F6B74"/>
      <rgbColor rgb="FFC8D0D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26.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6.8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26.8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26.85" hidden="false" customHeight="false" outlineLevel="0" collapsed="false">
      <c r="A22" s="2" t="s">
        <v>17</v>
      </c>
    </row>
    <row r="23" customFormat="false" ht="15" hidden="false" customHeight="false" outlineLevel="0" collapsed="false">
      <c r="A23"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4"/>
    <col collapsed="false" customWidth="true" hidden="false" outlineLevel="0" max="3" min="3" style="0" width="18"/>
    <col collapsed="false" customWidth="true" hidden="false" outlineLevel="0" max="4" min="4" style="0" width="10"/>
    <col collapsed="false" customWidth="true" hidden="false" outlineLevel="0" max="5" min="5" style="0" width="70"/>
    <col collapsed="false" customWidth="true" hidden="false" outlineLevel="0" max="14" min="6" style="0" width="13"/>
  </cols>
  <sheetData>
    <row r="1" customFormat="false" ht="17.35" hidden="false" customHeight="false" outlineLevel="0" collapsed="false">
      <c r="A1" s="5" t="s">
        <v>19</v>
      </c>
    </row>
    <row r="2" customFormat="false" ht="15" hidden="false" customHeight="false" outlineLevel="0" collapsed="false">
      <c r="A2" s="6" t="s">
        <v>20</v>
      </c>
      <c r="B2" s="6" t="s">
        <v>21</v>
      </c>
      <c r="C2" s="6" t="s">
        <v>22</v>
      </c>
      <c r="D2" s="6" t="s">
        <v>23</v>
      </c>
      <c r="E2" s="6" t="s">
        <v>24</v>
      </c>
    </row>
    <row r="3" customFormat="false" ht="15" hidden="false" customHeight="false" outlineLevel="0" collapsed="false">
      <c r="A3" s="7" t="s">
        <v>25</v>
      </c>
      <c r="B3" s="8" t="n">
        <f aca="false">COUNTIFS(Experiments!$T$2:$T$83,"yes")</f>
        <v>80</v>
      </c>
      <c r="C3" s="9" t="n">
        <v>80</v>
      </c>
      <c r="D3" s="10" t="str">
        <f aca="false">IF(ABS(B3-C3)&lt;=0+0.000000001,"yes","CHECK")</f>
        <v>yes</v>
      </c>
    </row>
    <row r="4" customFormat="false" ht="15" hidden="false" customHeight="false" outlineLevel="0" collapsed="false">
      <c r="A4" s="7" t="s">
        <v>26</v>
      </c>
      <c r="B4" s="8" t="n">
        <f aca="false">SUMPRODUCT((Experiments!$T$2:$T$83="yes")/(COUNTIFS(Experiments!$C$2:$C$83,Experiments!$C$2:$C$83,Experiments!$T$2:$T$83,"yes")+(Experiments!$T$2:$T$83&lt;&gt;"yes")))</f>
        <v>49</v>
      </c>
      <c r="C4" s="9" t="n">
        <v>49</v>
      </c>
      <c r="D4" s="10" t="str">
        <f aca="false">IF(ABS(B4-C4)&lt;=0+0.000000001,"yes","CHECK")</f>
        <v>yes</v>
      </c>
    </row>
    <row r="5" customFormat="false" ht="15" hidden="false" customHeight="false" outlineLevel="0" collapsed="false">
      <c r="A5" s="7" t="s">
        <v>27</v>
      </c>
      <c r="B5" s="8" t="n">
        <f aca="false">SUMPRODUCT((Experiments!$T$2:$T$83="yes")/(COUNTIFS(Experiments!$G$2:$G$83,Experiments!$G$2:$G$83,Experiments!$T$2:$T$83,"yes")+(Experiments!$T$2:$T$83&lt;&gt;"yes")))</f>
        <v>68</v>
      </c>
      <c r="C5" s="9" t="n">
        <v>68</v>
      </c>
      <c r="D5" s="10" t="str">
        <f aca="false">IF(ABS(B5-C5)&lt;=0+0.000000001,"yes","CHECK")</f>
        <v>yes</v>
      </c>
    </row>
    <row r="6" customFormat="false" ht="15" hidden="false" customHeight="false" outlineLevel="0" collapsed="false">
      <c r="A6" s="7" t="s">
        <v>28</v>
      </c>
      <c r="B6" s="11" t="n">
        <f aca="false">COUNTIFS(Experiments!$K$2:$K$83,"Acute injury",Experiments!$T$2:$T$83,"yes")/B3</f>
        <v>0.6375</v>
      </c>
      <c r="C6" s="12" t="n">
        <v>0.64</v>
      </c>
      <c r="D6" s="10" t="str">
        <f aca="false">IF(ABS(B6-C6)&lt;=0.005+0.000000001,"yes","CHECK")</f>
        <v>yes</v>
      </c>
    </row>
    <row r="7" customFormat="false" ht="26.85" hidden="false" customHeight="false" outlineLevel="0" collapsed="false">
      <c r="A7" s="7" t="s">
        <v>29</v>
      </c>
      <c r="B7" s="11" t="n">
        <f aca="false">COUNTIFS(Experiments!$K$2:$K$83,"Genetic / metabolic",Experiments!$T$2:$T$83,"yes")/B3</f>
        <v>0.125</v>
      </c>
      <c r="C7" s="12" t="n">
        <v>0.12</v>
      </c>
      <c r="D7" s="10" t="str">
        <f aca="false">IF(ABS(B7-C7)&lt;=0.005+0.000000001,"yes","CHECK")</f>
        <v>yes</v>
      </c>
      <c r="E7" s="13" t="s">
        <v>30</v>
      </c>
    </row>
    <row r="8" customFormat="false" ht="15" hidden="false" customHeight="false" outlineLevel="0" collapsed="false">
      <c r="A8" s="7" t="s">
        <v>31</v>
      </c>
      <c r="B8" s="8" t="n">
        <f aca="false">COUNTIFS(Experiments!$O$2:$O$83,"Single dose",Experiments!$T$2:$T$83,"yes")</f>
        <v>30</v>
      </c>
      <c r="C8" s="9" t="n">
        <v>30</v>
      </c>
      <c r="D8" s="10" t="str">
        <f aca="false">IF(ABS(B8-C8)&lt;=0+0.000000001,"yes","CHECK")</f>
        <v>yes</v>
      </c>
    </row>
    <row r="9" customFormat="false" ht="15" hidden="false" customHeight="false" outlineLevel="0" collapsed="false">
      <c r="A9" s="7" t="s">
        <v>32</v>
      </c>
      <c r="B9" s="11" t="n">
        <f aca="false">COUNTIFS(Experiments!$N$2:$N$83,"&gt;1",Experiments!$N$2:$N$83,"&lt;=28",Experiments!$T$2:$T$83,"yes")/COUNTIFS(Experiments!$N$2:$N$83,"&gt;1",Experiments!$T$2:$T$83,"yes")</f>
        <v>0.693877551020408</v>
      </c>
      <c r="C9" s="12" t="n">
        <v>0.69</v>
      </c>
      <c r="D9" s="10" t="str">
        <f aca="false">IF(ABS(B9-C9)&lt;=0.005+0.000000001,"yes","CHECK")</f>
        <v>yes</v>
      </c>
    </row>
    <row r="12" customFormat="false" ht="17.35" hidden="false" customHeight="false" outlineLevel="0" collapsed="false">
      <c r="A12" s="5" t="s">
        <v>33</v>
      </c>
    </row>
    <row r="13" customFormat="false" ht="26.85" hidden="false" customHeight="false" outlineLevel="0" collapsed="false">
      <c r="A13" s="6" t="s">
        <v>34</v>
      </c>
      <c r="B13" s="6" t="s">
        <v>35</v>
      </c>
      <c r="C13" s="6" t="s">
        <v>36</v>
      </c>
      <c r="D13" s="6" t="s">
        <v>37</v>
      </c>
      <c r="E13" s="6" t="s">
        <v>38</v>
      </c>
      <c r="F13" s="6" t="s">
        <v>39</v>
      </c>
      <c r="G13" s="6" t="s">
        <v>40</v>
      </c>
      <c r="H13" s="6" t="s">
        <v>41</v>
      </c>
      <c r="I13" s="6" t="s">
        <v>42</v>
      </c>
      <c r="J13" s="6" t="s">
        <v>43</v>
      </c>
      <c r="K13" s="6" t="s">
        <v>44</v>
      </c>
      <c r="L13" s="6" t="s">
        <v>45</v>
      </c>
      <c r="M13" s="6" t="s">
        <v>46</v>
      </c>
      <c r="N13" s="6" t="s">
        <v>47</v>
      </c>
    </row>
    <row r="14" customFormat="false" ht="15" hidden="false" customHeight="false" outlineLevel="0" collapsed="false">
      <c r="A14" s="7" t="s">
        <v>48</v>
      </c>
      <c r="B14" s="7" t="str">
        <f aca="false">INDEX('Drug classes'!$B$2:$B$20,MATCH(A14,'Drug classes'!$A$2:$A$20,0))</f>
        <v>TNF / RIPK / MAPK</v>
      </c>
      <c r="C14" s="7" t="n">
        <f aca="false">COUNTIFS(Experiments!$D$2:$D$83,A14,Experiments!$T$2:$T$83,"yes")</f>
        <v>11</v>
      </c>
      <c r="D14" s="7" t="n">
        <f aca="false">COUNTIFS(Experiments!$D$2:$D$83,$A14,Experiments!$L$2:$L$83,"Systemic",Experiments!$T$2:$T$83,"yes")</f>
        <v>7</v>
      </c>
      <c r="E14" s="7" t="n">
        <f aca="false">COUNTIFS(Experiments!$D$2:$D$83,$A14,Experiments!$L$2:$L$83,"Intravitreal",Experiments!$T$2:$T$83,"yes")</f>
        <v>2</v>
      </c>
      <c r="F14" s="7" t="n">
        <f aca="false">COUNTIFS(Experiments!$D$2:$D$83,$A14,Experiments!$L$2:$L$83,"Topical",Experiments!$T$2:$T$83,"yes")</f>
        <v>0</v>
      </c>
      <c r="G14" s="7" t="n">
        <f aca="false">COUNTIFS(Experiments!$D$2:$D$83,$A14,Experiments!$L$2:$L$83,"Periocular",Experiments!$T$2:$T$83,"yes")</f>
        <v>1</v>
      </c>
      <c r="H14" s="7" t="n">
        <f aca="false">COUNTIFS(Experiments!$D$2:$D$83,$A14,Experiments!$L$2:$L$83,"Combined",Experiments!$T$2:$T$83,"yes")</f>
        <v>1</v>
      </c>
      <c r="I14" s="7" t="n">
        <f aca="false">COUNTIFS(Experiments!$D$2:$D$83,$A14,Experiments!$K$2:$K$83,"Acute injury",Experiments!$T$2:$T$83,"yes")</f>
        <v>9</v>
      </c>
      <c r="J14" s="7" t="n">
        <f aca="false">COUNTIFS(Experiments!$D$2:$D$83,$A14,Experiments!$K$2:$K$83,"Induced OHT",Experiments!$T$2:$T$83,"yes")</f>
        <v>2</v>
      </c>
      <c r="K14" s="7" t="n">
        <f aca="false">COUNTIFS(Experiments!$D$2:$D$83,$A14,Experiments!$K$2:$K$83,"Genetic / metabolic",Experiments!$T$2:$T$83,"yes")</f>
        <v>0</v>
      </c>
      <c r="L14" s="7" t="n">
        <f aca="false">COUNTIFS(Experiments!$D$2:$D$83,$A14,Experiments!$O$2:$O$83,"Single dose",Experiments!$T$2:$T$83,"yes")</f>
        <v>5</v>
      </c>
      <c r="M14" s="7" t="n">
        <f aca="false">COUNTIFS(Experiments!$D$2:$D$83,$A14,Experiments!$N$2:$N$83,"&gt;1",Experiments!$T$2:$T$83,"yes")</f>
        <v>6</v>
      </c>
      <c r="N14" s="7" t="n">
        <f aca="false">COUNTIFS(Experiments!$D$2:$D$83,$A14,Experiments!$O$2:$O$83,"Not reported",Experiments!$T$2:$T$83,"yes")</f>
        <v>0</v>
      </c>
    </row>
    <row r="15" customFormat="false" ht="15" hidden="false" customHeight="false" outlineLevel="0" collapsed="false">
      <c r="A15" s="7" t="s">
        <v>49</v>
      </c>
      <c r="B15" s="7" t="str">
        <f aca="false">INDEX('Drug classes'!$B$2:$B$20,MATCH(A15,'Drug classes'!$A$2:$A$20,0))</f>
        <v>TLR4 / IL-1R / NF-κB</v>
      </c>
      <c r="C15" s="7" t="n">
        <f aca="false">COUNTIFS(Experiments!$D$2:$D$83,A15,Experiments!$T$2:$T$83,"yes")</f>
        <v>2</v>
      </c>
      <c r="D15" s="7" t="n">
        <f aca="false">COUNTIFS(Experiments!$D$2:$D$83,$A15,Experiments!$L$2:$L$83,"Systemic",Experiments!$T$2:$T$83,"yes")</f>
        <v>1</v>
      </c>
      <c r="E15" s="7" t="n">
        <f aca="false">COUNTIFS(Experiments!$D$2:$D$83,$A15,Experiments!$L$2:$L$83,"Intravitreal",Experiments!$T$2:$T$83,"yes")</f>
        <v>1</v>
      </c>
      <c r="F15" s="7" t="n">
        <f aca="false">COUNTIFS(Experiments!$D$2:$D$83,$A15,Experiments!$L$2:$L$83,"Topical",Experiments!$T$2:$T$83,"yes")</f>
        <v>0</v>
      </c>
      <c r="G15" s="7" t="n">
        <f aca="false">COUNTIFS(Experiments!$D$2:$D$83,$A15,Experiments!$L$2:$L$83,"Periocular",Experiments!$T$2:$T$83,"yes")</f>
        <v>0</v>
      </c>
      <c r="H15" s="7" t="n">
        <f aca="false">COUNTIFS(Experiments!$D$2:$D$83,$A15,Experiments!$L$2:$L$83,"Combined",Experiments!$T$2:$T$83,"yes")</f>
        <v>0</v>
      </c>
      <c r="I15" s="7" t="n">
        <f aca="false">COUNTIFS(Experiments!$D$2:$D$83,$A15,Experiments!$K$2:$K$83,"Acute injury",Experiments!$T$2:$T$83,"yes")</f>
        <v>2</v>
      </c>
      <c r="J15" s="7" t="n">
        <f aca="false">COUNTIFS(Experiments!$D$2:$D$83,$A15,Experiments!$K$2:$K$83,"Induced OHT",Experiments!$T$2:$T$83,"yes")</f>
        <v>0</v>
      </c>
      <c r="K15" s="7" t="n">
        <f aca="false">COUNTIFS(Experiments!$D$2:$D$83,$A15,Experiments!$K$2:$K$83,"Genetic / metabolic",Experiments!$T$2:$T$83,"yes")</f>
        <v>0</v>
      </c>
      <c r="L15" s="7" t="n">
        <f aca="false">COUNTIFS(Experiments!$D$2:$D$83,$A15,Experiments!$O$2:$O$83,"Single dose",Experiments!$T$2:$T$83,"yes")</f>
        <v>1</v>
      </c>
      <c r="M15" s="7" t="n">
        <f aca="false">COUNTIFS(Experiments!$D$2:$D$83,$A15,Experiments!$N$2:$N$83,"&gt;1",Experiments!$T$2:$T$83,"yes")</f>
        <v>1</v>
      </c>
      <c r="N15" s="7" t="n">
        <f aca="false">COUNTIFS(Experiments!$D$2:$D$83,$A15,Experiments!$O$2:$O$83,"Not reported",Experiments!$T$2:$T$83,"yes")</f>
        <v>0</v>
      </c>
    </row>
    <row r="16" customFormat="false" ht="15" hidden="false" customHeight="false" outlineLevel="0" collapsed="false">
      <c r="A16" s="7" t="s">
        <v>50</v>
      </c>
      <c r="B16" s="7" t="str">
        <f aca="false">INDEX('Drug classes'!$B$2:$B$20,MATCH(A16,'Drug classes'!$A$2:$A$20,0))</f>
        <v>IL-6 / JAK-STAT3</v>
      </c>
      <c r="C16" s="7" t="n">
        <f aca="false">COUNTIFS(Experiments!$D$2:$D$83,A16,Experiments!$T$2:$T$83,"yes")</f>
        <v>1</v>
      </c>
      <c r="D16" s="7" t="n">
        <f aca="false">COUNTIFS(Experiments!$D$2:$D$83,$A16,Experiments!$L$2:$L$83,"Systemic",Experiments!$T$2:$T$83,"yes")</f>
        <v>1</v>
      </c>
      <c r="E16" s="7" t="n">
        <f aca="false">COUNTIFS(Experiments!$D$2:$D$83,$A16,Experiments!$L$2:$L$83,"Intravitreal",Experiments!$T$2:$T$83,"yes")</f>
        <v>0</v>
      </c>
      <c r="F16" s="7" t="n">
        <f aca="false">COUNTIFS(Experiments!$D$2:$D$83,$A16,Experiments!$L$2:$L$83,"Topical",Experiments!$T$2:$T$83,"yes")</f>
        <v>0</v>
      </c>
      <c r="G16" s="7" t="n">
        <f aca="false">COUNTIFS(Experiments!$D$2:$D$83,$A16,Experiments!$L$2:$L$83,"Periocular",Experiments!$T$2:$T$83,"yes")</f>
        <v>0</v>
      </c>
      <c r="H16" s="7" t="n">
        <f aca="false">COUNTIFS(Experiments!$D$2:$D$83,$A16,Experiments!$L$2:$L$83,"Combined",Experiments!$T$2:$T$83,"yes")</f>
        <v>0</v>
      </c>
      <c r="I16" s="7" t="n">
        <f aca="false">COUNTIFS(Experiments!$D$2:$D$83,$A16,Experiments!$K$2:$K$83,"Acute injury",Experiments!$T$2:$T$83,"yes")</f>
        <v>0</v>
      </c>
      <c r="J16" s="7" t="n">
        <f aca="false">COUNTIFS(Experiments!$D$2:$D$83,$A16,Experiments!$K$2:$K$83,"Induced OHT",Experiments!$T$2:$T$83,"yes")</f>
        <v>0</v>
      </c>
      <c r="K16" s="7" t="n">
        <f aca="false">COUNTIFS(Experiments!$D$2:$D$83,$A16,Experiments!$K$2:$K$83,"Genetic / metabolic",Experiments!$T$2:$T$83,"yes")</f>
        <v>1</v>
      </c>
      <c r="L16" s="7" t="n">
        <f aca="false">COUNTIFS(Experiments!$D$2:$D$83,$A16,Experiments!$O$2:$O$83,"Single dose",Experiments!$T$2:$T$83,"yes")</f>
        <v>0</v>
      </c>
      <c r="M16" s="7" t="n">
        <f aca="false">COUNTIFS(Experiments!$D$2:$D$83,$A16,Experiments!$N$2:$N$83,"&gt;1",Experiments!$T$2:$T$83,"yes")</f>
        <v>1</v>
      </c>
      <c r="N16" s="7" t="n">
        <f aca="false">COUNTIFS(Experiments!$D$2:$D$83,$A16,Experiments!$O$2:$O$83,"Not reported",Experiments!$T$2:$T$83,"yes")</f>
        <v>0</v>
      </c>
    </row>
    <row r="17" customFormat="false" ht="15" hidden="false" customHeight="false" outlineLevel="0" collapsed="false">
      <c r="A17" s="7" t="s">
        <v>51</v>
      </c>
      <c r="B17" s="7" t="str">
        <f aca="false">INDEX('Drug classes'!$B$2:$B$20,MATCH(A17,'Drug classes'!$A$2:$A$20,0))</f>
        <v>TNF / RIPK / MAPK</v>
      </c>
      <c r="C17" s="7" t="n">
        <f aca="false">COUNTIFS(Experiments!$D$2:$D$83,A17,Experiments!$T$2:$T$83,"yes")</f>
        <v>4</v>
      </c>
      <c r="D17" s="7" t="n">
        <f aca="false">COUNTIFS(Experiments!$D$2:$D$83,$A17,Experiments!$L$2:$L$83,"Systemic",Experiments!$T$2:$T$83,"yes")</f>
        <v>1</v>
      </c>
      <c r="E17" s="7" t="n">
        <f aca="false">COUNTIFS(Experiments!$D$2:$D$83,$A17,Experiments!$L$2:$L$83,"Intravitreal",Experiments!$T$2:$T$83,"yes")</f>
        <v>3</v>
      </c>
      <c r="F17" s="7" t="n">
        <f aca="false">COUNTIFS(Experiments!$D$2:$D$83,$A17,Experiments!$L$2:$L$83,"Topical",Experiments!$T$2:$T$83,"yes")</f>
        <v>0</v>
      </c>
      <c r="G17" s="7" t="n">
        <f aca="false">COUNTIFS(Experiments!$D$2:$D$83,$A17,Experiments!$L$2:$L$83,"Periocular",Experiments!$T$2:$T$83,"yes")</f>
        <v>0</v>
      </c>
      <c r="H17" s="7" t="n">
        <f aca="false">COUNTIFS(Experiments!$D$2:$D$83,$A17,Experiments!$L$2:$L$83,"Combined",Experiments!$T$2:$T$83,"yes")</f>
        <v>0</v>
      </c>
      <c r="I17" s="7" t="n">
        <f aca="false">COUNTIFS(Experiments!$D$2:$D$83,$A17,Experiments!$K$2:$K$83,"Acute injury",Experiments!$T$2:$T$83,"yes")</f>
        <v>4</v>
      </c>
      <c r="J17" s="7" t="n">
        <f aca="false">COUNTIFS(Experiments!$D$2:$D$83,$A17,Experiments!$K$2:$K$83,"Induced OHT",Experiments!$T$2:$T$83,"yes")</f>
        <v>0</v>
      </c>
      <c r="K17" s="7" t="n">
        <f aca="false">COUNTIFS(Experiments!$D$2:$D$83,$A17,Experiments!$K$2:$K$83,"Genetic / metabolic",Experiments!$T$2:$T$83,"yes")</f>
        <v>0</v>
      </c>
      <c r="L17" s="7" t="n">
        <f aca="false">COUNTIFS(Experiments!$D$2:$D$83,$A17,Experiments!$O$2:$O$83,"Single dose",Experiments!$T$2:$T$83,"yes")</f>
        <v>4</v>
      </c>
      <c r="M17" s="7" t="n">
        <f aca="false">COUNTIFS(Experiments!$D$2:$D$83,$A17,Experiments!$N$2:$N$83,"&gt;1",Experiments!$T$2:$T$83,"yes")</f>
        <v>0</v>
      </c>
      <c r="N17" s="7" t="n">
        <f aca="false">COUNTIFS(Experiments!$D$2:$D$83,$A17,Experiments!$O$2:$O$83,"Not reported",Experiments!$T$2:$T$83,"yes")</f>
        <v>0</v>
      </c>
    </row>
    <row r="18" customFormat="false" ht="15" hidden="false" customHeight="false" outlineLevel="0" collapsed="false">
      <c r="A18" s="7" t="s">
        <v>52</v>
      </c>
      <c r="B18" s="7" t="str">
        <f aca="false">INDEX('Drug classes'!$B$2:$B$20,MATCH(A18,'Drug classes'!$A$2:$A$20,0))</f>
        <v>TNF / RIPK / MAPK</v>
      </c>
      <c r="C18" s="7" t="n">
        <f aca="false">COUNTIFS(Experiments!$D$2:$D$83,A18,Experiments!$T$2:$T$83,"yes")</f>
        <v>4</v>
      </c>
      <c r="D18" s="7" t="n">
        <f aca="false">COUNTIFS(Experiments!$D$2:$D$83,$A18,Experiments!$L$2:$L$83,"Systemic",Experiments!$T$2:$T$83,"yes")</f>
        <v>1</v>
      </c>
      <c r="E18" s="7" t="n">
        <f aca="false">COUNTIFS(Experiments!$D$2:$D$83,$A18,Experiments!$L$2:$L$83,"Intravitreal",Experiments!$T$2:$T$83,"yes")</f>
        <v>0</v>
      </c>
      <c r="F18" s="7" t="n">
        <f aca="false">COUNTIFS(Experiments!$D$2:$D$83,$A18,Experiments!$L$2:$L$83,"Topical",Experiments!$T$2:$T$83,"yes")</f>
        <v>3</v>
      </c>
      <c r="G18" s="7" t="n">
        <f aca="false">COUNTIFS(Experiments!$D$2:$D$83,$A18,Experiments!$L$2:$L$83,"Periocular",Experiments!$T$2:$T$83,"yes")</f>
        <v>0</v>
      </c>
      <c r="H18" s="7" t="n">
        <f aca="false">COUNTIFS(Experiments!$D$2:$D$83,$A18,Experiments!$L$2:$L$83,"Combined",Experiments!$T$2:$T$83,"yes")</f>
        <v>0</v>
      </c>
      <c r="I18" s="7" t="n">
        <f aca="false">COUNTIFS(Experiments!$D$2:$D$83,$A18,Experiments!$K$2:$K$83,"Acute injury",Experiments!$T$2:$T$83,"yes")</f>
        <v>0</v>
      </c>
      <c r="J18" s="7" t="n">
        <f aca="false">COUNTIFS(Experiments!$D$2:$D$83,$A18,Experiments!$K$2:$K$83,"Induced OHT",Experiments!$T$2:$T$83,"yes")</f>
        <v>3</v>
      </c>
      <c r="K18" s="7" t="n">
        <f aca="false">COUNTIFS(Experiments!$D$2:$D$83,$A18,Experiments!$K$2:$K$83,"Genetic / metabolic",Experiments!$T$2:$T$83,"yes")</f>
        <v>1</v>
      </c>
      <c r="L18" s="7" t="n">
        <f aca="false">COUNTIFS(Experiments!$D$2:$D$83,$A18,Experiments!$O$2:$O$83,"Single dose",Experiments!$T$2:$T$83,"yes")</f>
        <v>0</v>
      </c>
      <c r="M18" s="7" t="n">
        <f aca="false">COUNTIFS(Experiments!$D$2:$D$83,$A18,Experiments!$N$2:$N$83,"&gt;1",Experiments!$T$2:$T$83,"yes")</f>
        <v>4</v>
      </c>
      <c r="N18" s="7" t="n">
        <f aca="false">COUNTIFS(Experiments!$D$2:$D$83,$A18,Experiments!$O$2:$O$83,"Not reported",Experiments!$T$2:$T$83,"yes")</f>
        <v>0</v>
      </c>
    </row>
    <row r="19" customFormat="false" ht="15" hidden="false" customHeight="false" outlineLevel="0" collapsed="false">
      <c r="A19" s="7" t="s">
        <v>53</v>
      </c>
      <c r="B19" s="7" t="str">
        <f aca="false">INDEX('Drug classes'!$B$2:$B$20,MATCH(A19,'Drug classes'!$A$2:$A$20,0))</f>
        <v>TNF / RIPK / MAPK</v>
      </c>
      <c r="C19" s="7" t="n">
        <f aca="false">COUNTIFS(Experiments!$D$2:$D$83,A19,Experiments!$T$2:$T$83,"yes")</f>
        <v>3</v>
      </c>
      <c r="D19" s="7" t="n">
        <f aca="false">COUNTIFS(Experiments!$D$2:$D$83,$A19,Experiments!$L$2:$L$83,"Systemic",Experiments!$T$2:$T$83,"yes")</f>
        <v>3</v>
      </c>
      <c r="E19" s="7" t="n">
        <f aca="false">COUNTIFS(Experiments!$D$2:$D$83,$A19,Experiments!$L$2:$L$83,"Intravitreal",Experiments!$T$2:$T$83,"yes")</f>
        <v>0</v>
      </c>
      <c r="F19" s="7" t="n">
        <f aca="false">COUNTIFS(Experiments!$D$2:$D$83,$A19,Experiments!$L$2:$L$83,"Topical",Experiments!$T$2:$T$83,"yes")</f>
        <v>0</v>
      </c>
      <c r="G19" s="7" t="n">
        <f aca="false">COUNTIFS(Experiments!$D$2:$D$83,$A19,Experiments!$L$2:$L$83,"Periocular",Experiments!$T$2:$T$83,"yes")</f>
        <v>0</v>
      </c>
      <c r="H19" s="7" t="n">
        <f aca="false">COUNTIFS(Experiments!$D$2:$D$83,$A19,Experiments!$L$2:$L$83,"Combined",Experiments!$T$2:$T$83,"yes")</f>
        <v>0</v>
      </c>
      <c r="I19" s="7" t="n">
        <f aca="false">COUNTIFS(Experiments!$D$2:$D$83,$A19,Experiments!$K$2:$K$83,"Acute injury",Experiments!$T$2:$T$83,"yes")</f>
        <v>3</v>
      </c>
      <c r="J19" s="7" t="n">
        <f aca="false">COUNTIFS(Experiments!$D$2:$D$83,$A19,Experiments!$K$2:$K$83,"Induced OHT",Experiments!$T$2:$T$83,"yes")</f>
        <v>0</v>
      </c>
      <c r="K19" s="7" t="n">
        <f aca="false">COUNTIFS(Experiments!$D$2:$D$83,$A19,Experiments!$K$2:$K$83,"Genetic / metabolic",Experiments!$T$2:$T$83,"yes")</f>
        <v>0</v>
      </c>
      <c r="L19" s="7" t="n">
        <f aca="false">COUNTIFS(Experiments!$D$2:$D$83,$A19,Experiments!$O$2:$O$83,"Single dose",Experiments!$T$2:$T$83,"yes")</f>
        <v>1</v>
      </c>
      <c r="M19" s="7" t="n">
        <f aca="false">COUNTIFS(Experiments!$D$2:$D$83,$A19,Experiments!$N$2:$N$83,"&gt;1",Experiments!$T$2:$T$83,"yes")</f>
        <v>2</v>
      </c>
      <c r="N19" s="7" t="n">
        <f aca="false">COUNTIFS(Experiments!$D$2:$D$83,$A19,Experiments!$O$2:$O$83,"Not reported",Experiments!$T$2:$T$83,"yes")</f>
        <v>0</v>
      </c>
    </row>
    <row r="20" customFormat="false" ht="15" hidden="false" customHeight="false" outlineLevel="0" collapsed="false">
      <c r="A20" s="7" t="s">
        <v>54</v>
      </c>
      <c r="B20" s="7" t="str">
        <f aca="false">INDEX('Drug classes'!$B$2:$B$20,MATCH(A20,'Drug classes'!$A$2:$A$20,0))</f>
        <v>TLR4 / IL-1R / NF-κB</v>
      </c>
      <c r="C20" s="7" t="n">
        <f aca="false">COUNTIFS(Experiments!$D$2:$D$83,A20,Experiments!$T$2:$T$83,"yes")</f>
        <v>3</v>
      </c>
      <c r="D20" s="7" t="n">
        <f aca="false">COUNTIFS(Experiments!$D$2:$D$83,$A20,Experiments!$L$2:$L$83,"Systemic",Experiments!$T$2:$T$83,"yes")</f>
        <v>0</v>
      </c>
      <c r="E20" s="7" t="n">
        <f aca="false">COUNTIFS(Experiments!$D$2:$D$83,$A20,Experiments!$L$2:$L$83,"Intravitreal",Experiments!$T$2:$T$83,"yes")</f>
        <v>3</v>
      </c>
      <c r="F20" s="7" t="n">
        <f aca="false">COUNTIFS(Experiments!$D$2:$D$83,$A20,Experiments!$L$2:$L$83,"Topical",Experiments!$T$2:$T$83,"yes")</f>
        <v>0</v>
      </c>
      <c r="G20" s="7" t="n">
        <f aca="false">COUNTIFS(Experiments!$D$2:$D$83,$A20,Experiments!$L$2:$L$83,"Periocular",Experiments!$T$2:$T$83,"yes")</f>
        <v>0</v>
      </c>
      <c r="H20" s="7" t="n">
        <f aca="false">COUNTIFS(Experiments!$D$2:$D$83,$A20,Experiments!$L$2:$L$83,"Combined",Experiments!$T$2:$T$83,"yes")</f>
        <v>0</v>
      </c>
      <c r="I20" s="7" t="n">
        <f aca="false">COUNTIFS(Experiments!$D$2:$D$83,$A20,Experiments!$K$2:$K$83,"Acute injury",Experiments!$T$2:$T$83,"yes")</f>
        <v>2</v>
      </c>
      <c r="J20" s="7" t="n">
        <f aca="false">COUNTIFS(Experiments!$D$2:$D$83,$A20,Experiments!$K$2:$K$83,"Induced OHT",Experiments!$T$2:$T$83,"yes")</f>
        <v>1</v>
      </c>
      <c r="K20" s="7" t="n">
        <f aca="false">COUNTIFS(Experiments!$D$2:$D$83,$A20,Experiments!$K$2:$K$83,"Genetic / metabolic",Experiments!$T$2:$T$83,"yes")</f>
        <v>0</v>
      </c>
      <c r="L20" s="7" t="n">
        <f aca="false">COUNTIFS(Experiments!$D$2:$D$83,$A20,Experiments!$O$2:$O$83,"Single dose",Experiments!$T$2:$T$83,"yes")</f>
        <v>2</v>
      </c>
      <c r="M20" s="7" t="n">
        <f aca="false">COUNTIFS(Experiments!$D$2:$D$83,$A20,Experiments!$N$2:$N$83,"&gt;1",Experiments!$T$2:$T$83,"yes")</f>
        <v>1</v>
      </c>
      <c r="N20" s="7" t="n">
        <f aca="false">COUNTIFS(Experiments!$D$2:$D$83,$A20,Experiments!$O$2:$O$83,"Not reported",Experiments!$T$2:$T$83,"yes")</f>
        <v>0</v>
      </c>
    </row>
    <row r="21" customFormat="false" ht="15" hidden="false" customHeight="false" outlineLevel="0" collapsed="false">
      <c r="A21" s="7" t="s">
        <v>55</v>
      </c>
      <c r="B21" s="7" t="str">
        <f aca="false">INDEX('Drug classes'!$B$2:$B$20,MATCH(A21,'Drug classes'!$A$2:$A$20,0))</f>
        <v>TLR4 / IL-1R / NF-κB</v>
      </c>
      <c r="C21" s="7" t="n">
        <f aca="false">COUNTIFS(Experiments!$D$2:$D$83,A21,Experiments!$T$2:$T$83,"yes")</f>
        <v>6</v>
      </c>
      <c r="D21" s="7" t="n">
        <f aca="false">COUNTIFS(Experiments!$D$2:$D$83,$A21,Experiments!$L$2:$L$83,"Systemic",Experiments!$T$2:$T$83,"yes")</f>
        <v>3</v>
      </c>
      <c r="E21" s="7" t="n">
        <f aca="false">COUNTIFS(Experiments!$D$2:$D$83,$A21,Experiments!$L$2:$L$83,"Intravitreal",Experiments!$T$2:$T$83,"yes")</f>
        <v>3</v>
      </c>
      <c r="F21" s="7" t="n">
        <f aca="false">COUNTIFS(Experiments!$D$2:$D$83,$A21,Experiments!$L$2:$L$83,"Topical",Experiments!$T$2:$T$83,"yes")</f>
        <v>0</v>
      </c>
      <c r="G21" s="7" t="n">
        <f aca="false">COUNTIFS(Experiments!$D$2:$D$83,$A21,Experiments!$L$2:$L$83,"Periocular",Experiments!$T$2:$T$83,"yes")</f>
        <v>0</v>
      </c>
      <c r="H21" s="7" t="n">
        <f aca="false">COUNTIFS(Experiments!$D$2:$D$83,$A21,Experiments!$L$2:$L$83,"Combined",Experiments!$T$2:$T$83,"yes")</f>
        <v>0</v>
      </c>
      <c r="I21" s="7" t="n">
        <f aca="false">COUNTIFS(Experiments!$D$2:$D$83,$A21,Experiments!$K$2:$K$83,"Acute injury",Experiments!$T$2:$T$83,"yes")</f>
        <v>3</v>
      </c>
      <c r="J21" s="7" t="n">
        <f aca="false">COUNTIFS(Experiments!$D$2:$D$83,$A21,Experiments!$K$2:$K$83,"Induced OHT",Experiments!$T$2:$T$83,"yes")</f>
        <v>1</v>
      </c>
      <c r="K21" s="7" t="n">
        <f aca="false">COUNTIFS(Experiments!$D$2:$D$83,$A21,Experiments!$K$2:$K$83,"Genetic / metabolic",Experiments!$T$2:$T$83,"yes")</f>
        <v>2</v>
      </c>
      <c r="L21" s="7" t="n">
        <f aca="false">COUNTIFS(Experiments!$D$2:$D$83,$A21,Experiments!$O$2:$O$83,"Single dose",Experiments!$T$2:$T$83,"yes")</f>
        <v>2</v>
      </c>
      <c r="M21" s="7" t="n">
        <f aca="false">COUNTIFS(Experiments!$D$2:$D$83,$A21,Experiments!$N$2:$N$83,"&gt;1",Experiments!$T$2:$T$83,"yes")</f>
        <v>4</v>
      </c>
      <c r="N21" s="7" t="n">
        <f aca="false">COUNTIFS(Experiments!$D$2:$D$83,$A21,Experiments!$O$2:$O$83,"Not reported",Experiments!$T$2:$T$83,"yes")</f>
        <v>0</v>
      </c>
    </row>
    <row r="22" customFormat="false" ht="15" hidden="false" customHeight="false" outlineLevel="0" collapsed="false">
      <c r="A22" s="7" t="s">
        <v>56</v>
      </c>
      <c r="B22" s="7" t="str">
        <f aca="false">INDEX('Drug classes'!$B$2:$B$20,MATCH(A22,'Drug classes'!$A$2:$A$20,0))</f>
        <v>P2X7 / NLRP3</v>
      </c>
      <c r="C22" s="7" t="n">
        <f aca="false">COUNTIFS(Experiments!$D$2:$D$83,A22,Experiments!$T$2:$T$83,"yes")</f>
        <v>2</v>
      </c>
      <c r="D22" s="7" t="n">
        <f aca="false">COUNTIFS(Experiments!$D$2:$D$83,$A22,Experiments!$L$2:$L$83,"Systemic",Experiments!$T$2:$T$83,"yes")</f>
        <v>0</v>
      </c>
      <c r="E22" s="7" t="n">
        <f aca="false">COUNTIFS(Experiments!$D$2:$D$83,$A22,Experiments!$L$2:$L$83,"Intravitreal",Experiments!$T$2:$T$83,"yes")</f>
        <v>1</v>
      </c>
      <c r="F22" s="7" t="n">
        <f aca="false">COUNTIFS(Experiments!$D$2:$D$83,$A22,Experiments!$L$2:$L$83,"Topical",Experiments!$T$2:$T$83,"yes")</f>
        <v>1</v>
      </c>
      <c r="G22" s="7" t="n">
        <f aca="false">COUNTIFS(Experiments!$D$2:$D$83,$A22,Experiments!$L$2:$L$83,"Periocular",Experiments!$T$2:$T$83,"yes")</f>
        <v>0</v>
      </c>
      <c r="H22" s="7" t="n">
        <f aca="false">COUNTIFS(Experiments!$D$2:$D$83,$A22,Experiments!$L$2:$L$83,"Combined",Experiments!$T$2:$T$83,"yes")</f>
        <v>0</v>
      </c>
      <c r="I22" s="7" t="n">
        <f aca="false">COUNTIFS(Experiments!$D$2:$D$83,$A22,Experiments!$K$2:$K$83,"Acute injury",Experiments!$T$2:$T$83,"yes")</f>
        <v>0</v>
      </c>
      <c r="J22" s="7" t="n">
        <f aca="false">COUNTIFS(Experiments!$D$2:$D$83,$A22,Experiments!$K$2:$K$83,"Induced OHT",Experiments!$T$2:$T$83,"yes")</f>
        <v>1</v>
      </c>
      <c r="K22" s="7" t="n">
        <f aca="false">COUNTIFS(Experiments!$D$2:$D$83,$A22,Experiments!$K$2:$K$83,"Genetic / metabolic",Experiments!$T$2:$T$83,"yes")</f>
        <v>1</v>
      </c>
      <c r="L22" s="7" t="n">
        <f aca="false">COUNTIFS(Experiments!$D$2:$D$83,$A22,Experiments!$O$2:$O$83,"Single dose",Experiments!$T$2:$T$83,"yes")</f>
        <v>0</v>
      </c>
      <c r="M22" s="7" t="n">
        <f aca="false">COUNTIFS(Experiments!$D$2:$D$83,$A22,Experiments!$N$2:$N$83,"&gt;1",Experiments!$T$2:$T$83,"yes")</f>
        <v>1</v>
      </c>
      <c r="N22" s="7" t="n">
        <f aca="false">COUNTIFS(Experiments!$D$2:$D$83,$A22,Experiments!$O$2:$O$83,"Not reported",Experiments!$T$2:$T$83,"yes")</f>
        <v>1</v>
      </c>
    </row>
    <row r="23" customFormat="false" ht="15" hidden="false" customHeight="false" outlineLevel="0" collapsed="false">
      <c r="A23" s="7" t="s">
        <v>57</v>
      </c>
      <c r="B23" s="7" t="str">
        <f aca="false">INDEX('Drug classes'!$B$2:$B$20,MATCH(A23,'Drug classes'!$A$2:$A$20,0))</f>
        <v>P2X7 / NLRP3</v>
      </c>
      <c r="C23" s="7" t="n">
        <f aca="false">COUNTIFS(Experiments!$D$2:$D$83,A23,Experiments!$T$2:$T$83,"yes")</f>
        <v>4</v>
      </c>
      <c r="D23" s="7" t="n">
        <f aca="false">COUNTIFS(Experiments!$D$2:$D$83,$A23,Experiments!$L$2:$L$83,"Systemic",Experiments!$T$2:$T$83,"yes")</f>
        <v>1</v>
      </c>
      <c r="E23" s="7" t="n">
        <f aca="false">COUNTIFS(Experiments!$D$2:$D$83,$A23,Experiments!$L$2:$L$83,"Intravitreal",Experiments!$T$2:$T$83,"yes")</f>
        <v>3</v>
      </c>
      <c r="F23" s="7" t="n">
        <f aca="false">COUNTIFS(Experiments!$D$2:$D$83,$A23,Experiments!$L$2:$L$83,"Topical",Experiments!$T$2:$T$83,"yes")</f>
        <v>0</v>
      </c>
      <c r="G23" s="7" t="n">
        <f aca="false">COUNTIFS(Experiments!$D$2:$D$83,$A23,Experiments!$L$2:$L$83,"Periocular",Experiments!$T$2:$T$83,"yes")</f>
        <v>0</v>
      </c>
      <c r="H23" s="7" t="n">
        <f aca="false">COUNTIFS(Experiments!$D$2:$D$83,$A23,Experiments!$L$2:$L$83,"Combined",Experiments!$T$2:$T$83,"yes")</f>
        <v>0</v>
      </c>
      <c r="I23" s="7" t="n">
        <f aca="false">COUNTIFS(Experiments!$D$2:$D$83,$A23,Experiments!$K$2:$K$83,"Acute injury",Experiments!$T$2:$T$83,"yes")</f>
        <v>2</v>
      </c>
      <c r="J23" s="7" t="n">
        <f aca="false">COUNTIFS(Experiments!$D$2:$D$83,$A23,Experiments!$K$2:$K$83,"Induced OHT",Experiments!$T$2:$T$83,"yes")</f>
        <v>0</v>
      </c>
      <c r="K23" s="7" t="n">
        <f aca="false">COUNTIFS(Experiments!$D$2:$D$83,$A23,Experiments!$K$2:$K$83,"Genetic / metabolic",Experiments!$T$2:$T$83,"yes")</f>
        <v>2</v>
      </c>
      <c r="L23" s="7" t="n">
        <f aca="false">COUNTIFS(Experiments!$D$2:$D$83,$A23,Experiments!$O$2:$O$83,"Single dose",Experiments!$T$2:$T$83,"yes")</f>
        <v>3</v>
      </c>
      <c r="M23" s="7" t="n">
        <f aca="false">COUNTIFS(Experiments!$D$2:$D$83,$A23,Experiments!$N$2:$N$83,"&gt;1",Experiments!$T$2:$T$83,"yes")</f>
        <v>1</v>
      </c>
      <c r="N23" s="7" t="n">
        <f aca="false">COUNTIFS(Experiments!$D$2:$D$83,$A23,Experiments!$O$2:$O$83,"Not reported",Experiments!$T$2:$T$83,"yes")</f>
        <v>0</v>
      </c>
    </row>
    <row r="24" customFormat="false" ht="15" hidden="false" customHeight="false" outlineLevel="0" collapsed="false">
      <c r="A24" s="7" t="s">
        <v>58</v>
      </c>
      <c r="B24" s="7" t="str">
        <f aca="false">INDEX('Drug classes'!$B$2:$B$20,MATCH(A24,'Drug classes'!$A$2:$A$20,0))</f>
        <v>IL-6 / JAK-STAT3</v>
      </c>
      <c r="C24" s="7" t="n">
        <f aca="false">COUNTIFS(Experiments!$D$2:$D$83,A24,Experiments!$T$2:$T$83,"yes")</f>
        <v>2</v>
      </c>
      <c r="D24" s="7" t="n">
        <f aca="false">COUNTIFS(Experiments!$D$2:$D$83,$A24,Experiments!$L$2:$L$83,"Systemic",Experiments!$T$2:$T$83,"yes")</f>
        <v>2</v>
      </c>
      <c r="E24" s="7" t="n">
        <f aca="false">COUNTIFS(Experiments!$D$2:$D$83,$A24,Experiments!$L$2:$L$83,"Intravitreal",Experiments!$T$2:$T$83,"yes")</f>
        <v>0</v>
      </c>
      <c r="F24" s="7" t="n">
        <f aca="false">COUNTIFS(Experiments!$D$2:$D$83,$A24,Experiments!$L$2:$L$83,"Topical",Experiments!$T$2:$T$83,"yes")</f>
        <v>0</v>
      </c>
      <c r="G24" s="7" t="n">
        <f aca="false">COUNTIFS(Experiments!$D$2:$D$83,$A24,Experiments!$L$2:$L$83,"Periocular",Experiments!$T$2:$T$83,"yes")</f>
        <v>0</v>
      </c>
      <c r="H24" s="7" t="n">
        <f aca="false">COUNTIFS(Experiments!$D$2:$D$83,$A24,Experiments!$L$2:$L$83,"Combined",Experiments!$T$2:$T$83,"yes")</f>
        <v>0</v>
      </c>
      <c r="I24" s="7" t="n">
        <f aca="false">COUNTIFS(Experiments!$D$2:$D$83,$A24,Experiments!$K$2:$K$83,"Acute injury",Experiments!$T$2:$T$83,"yes")</f>
        <v>1</v>
      </c>
      <c r="J24" s="7" t="n">
        <f aca="false">COUNTIFS(Experiments!$D$2:$D$83,$A24,Experiments!$K$2:$K$83,"Induced OHT",Experiments!$T$2:$T$83,"yes")</f>
        <v>1</v>
      </c>
      <c r="K24" s="7" t="n">
        <f aca="false">COUNTIFS(Experiments!$D$2:$D$83,$A24,Experiments!$K$2:$K$83,"Genetic / metabolic",Experiments!$T$2:$T$83,"yes")</f>
        <v>0</v>
      </c>
      <c r="L24" s="7" t="n">
        <f aca="false">COUNTIFS(Experiments!$D$2:$D$83,$A24,Experiments!$O$2:$O$83,"Single dose",Experiments!$T$2:$T$83,"yes")</f>
        <v>0</v>
      </c>
      <c r="M24" s="7" t="n">
        <f aca="false">COUNTIFS(Experiments!$D$2:$D$83,$A24,Experiments!$N$2:$N$83,"&gt;1",Experiments!$T$2:$T$83,"yes")</f>
        <v>2</v>
      </c>
      <c r="N24" s="7" t="n">
        <f aca="false">COUNTIFS(Experiments!$D$2:$D$83,$A24,Experiments!$O$2:$O$83,"Not reported",Experiments!$T$2:$T$83,"yes")</f>
        <v>0</v>
      </c>
    </row>
    <row r="25" customFormat="false" ht="15" hidden="false" customHeight="false" outlineLevel="0" collapsed="false">
      <c r="A25" s="7" t="s">
        <v>59</v>
      </c>
      <c r="B25" s="7" t="str">
        <f aca="false">INDEX('Drug classes'!$B$2:$B$20,MATCH(A25,'Drug classes'!$A$2:$A$20,0))</f>
        <v>Broad anti-inflammatory</v>
      </c>
      <c r="C25" s="7" t="n">
        <f aca="false">COUNTIFS(Experiments!$D$2:$D$83,A25,Experiments!$T$2:$T$83,"yes")</f>
        <v>7</v>
      </c>
      <c r="D25" s="7" t="n">
        <f aca="false">COUNTIFS(Experiments!$D$2:$D$83,$A25,Experiments!$L$2:$L$83,"Systemic",Experiments!$T$2:$T$83,"yes")</f>
        <v>6</v>
      </c>
      <c r="E25" s="7" t="n">
        <f aca="false">COUNTIFS(Experiments!$D$2:$D$83,$A25,Experiments!$L$2:$L$83,"Intravitreal",Experiments!$T$2:$T$83,"yes")</f>
        <v>1</v>
      </c>
      <c r="F25" s="7" t="n">
        <f aca="false">COUNTIFS(Experiments!$D$2:$D$83,$A25,Experiments!$L$2:$L$83,"Topical",Experiments!$T$2:$T$83,"yes")</f>
        <v>0</v>
      </c>
      <c r="G25" s="7" t="n">
        <f aca="false">COUNTIFS(Experiments!$D$2:$D$83,$A25,Experiments!$L$2:$L$83,"Periocular",Experiments!$T$2:$T$83,"yes")</f>
        <v>0</v>
      </c>
      <c r="H25" s="7" t="n">
        <f aca="false">COUNTIFS(Experiments!$D$2:$D$83,$A25,Experiments!$L$2:$L$83,"Combined",Experiments!$T$2:$T$83,"yes")</f>
        <v>0</v>
      </c>
      <c r="I25" s="7" t="n">
        <f aca="false">COUNTIFS(Experiments!$D$2:$D$83,$A25,Experiments!$K$2:$K$83,"Acute injury",Experiments!$T$2:$T$83,"yes")</f>
        <v>4</v>
      </c>
      <c r="J25" s="7" t="n">
        <f aca="false">COUNTIFS(Experiments!$D$2:$D$83,$A25,Experiments!$K$2:$K$83,"Induced OHT",Experiments!$T$2:$T$83,"yes")</f>
        <v>2</v>
      </c>
      <c r="K25" s="7" t="n">
        <f aca="false">COUNTIFS(Experiments!$D$2:$D$83,$A25,Experiments!$K$2:$K$83,"Genetic / metabolic",Experiments!$T$2:$T$83,"yes")</f>
        <v>1</v>
      </c>
      <c r="L25" s="7" t="n">
        <f aca="false">COUNTIFS(Experiments!$D$2:$D$83,$A25,Experiments!$O$2:$O$83,"Single dose",Experiments!$T$2:$T$83,"yes")</f>
        <v>2</v>
      </c>
      <c r="M25" s="7" t="n">
        <f aca="false">COUNTIFS(Experiments!$D$2:$D$83,$A25,Experiments!$N$2:$N$83,"&gt;1",Experiments!$T$2:$T$83,"yes")</f>
        <v>5</v>
      </c>
      <c r="N25" s="7" t="n">
        <f aca="false">COUNTIFS(Experiments!$D$2:$D$83,$A25,Experiments!$O$2:$O$83,"Not reported",Experiments!$T$2:$T$83,"yes")</f>
        <v>0</v>
      </c>
    </row>
    <row r="26" customFormat="false" ht="15" hidden="false" customHeight="false" outlineLevel="0" collapsed="false">
      <c r="A26" s="7" t="s">
        <v>60</v>
      </c>
      <c r="B26" s="7" t="str">
        <f aca="false">INDEX('Drug classes'!$B$2:$B$20,MATCH(A26,'Drug classes'!$A$2:$A$20,0))</f>
        <v>Broad anti-inflammatory</v>
      </c>
      <c r="C26" s="7" t="n">
        <f aca="false">COUNTIFS(Experiments!$D$2:$D$83,A26,Experiments!$T$2:$T$83,"yes")</f>
        <v>4</v>
      </c>
      <c r="D26" s="7" t="n">
        <f aca="false">COUNTIFS(Experiments!$D$2:$D$83,$A26,Experiments!$L$2:$L$83,"Systemic",Experiments!$T$2:$T$83,"yes")</f>
        <v>1</v>
      </c>
      <c r="E26" s="7" t="n">
        <f aca="false">COUNTIFS(Experiments!$D$2:$D$83,$A26,Experiments!$L$2:$L$83,"Intravitreal",Experiments!$T$2:$T$83,"yes")</f>
        <v>1</v>
      </c>
      <c r="F26" s="7" t="n">
        <f aca="false">COUNTIFS(Experiments!$D$2:$D$83,$A26,Experiments!$L$2:$L$83,"Topical",Experiments!$T$2:$T$83,"yes")</f>
        <v>2</v>
      </c>
      <c r="G26" s="7" t="n">
        <f aca="false">COUNTIFS(Experiments!$D$2:$D$83,$A26,Experiments!$L$2:$L$83,"Periocular",Experiments!$T$2:$T$83,"yes")</f>
        <v>0</v>
      </c>
      <c r="H26" s="7" t="n">
        <f aca="false">COUNTIFS(Experiments!$D$2:$D$83,$A26,Experiments!$L$2:$L$83,"Combined",Experiments!$T$2:$T$83,"yes")</f>
        <v>0</v>
      </c>
      <c r="I26" s="7" t="n">
        <f aca="false">COUNTIFS(Experiments!$D$2:$D$83,$A26,Experiments!$K$2:$K$83,"Acute injury",Experiments!$T$2:$T$83,"yes")</f>
        <v>3</v>
      </c>
      <c r="J26" s="7" t="n">
        <f aca="false">COUNTIFS(Experiments!$D$2:$D$83,$A26,Experiments!$K$2:$K$83,"Induced OHT",Experiments!$T$2:$T$83,"yes")</f>
        <v>1</v>
      </c>
      <c r="K26" s="7" t="n">
        <f aca="false">COUNTIFS(Experiments!$D$2:$D$83,$A26,Experiments!$K$2:$K$83,"Genetic / metabolic",Experiments!$T$2:$T$83,"yes")</f>
        <v>0</v>
      </c>
      <c r="L26" s="7" t="n">
        <f aca="false">COUNTIFS(Experiments!$D$2:$D$83,$A26,Experiments!$O$2:$O$83,"Single dose",Experiments!$T$2:$T$83,"yes")</f>
        <v>1</v>
      </c>
      <c r="M26" s="7" t="n">
        <f aca="false">COUNTIFS(Experiments!$D$2:$D$83,$A26,Experiments!$N$2:$N$83,"&gt;1",Experiments!$T$2:$T$83,"yes")</f>
        <v>3</v>
      </c>
      <c r="N26" s="7" t="n">
        <f aca="false">COUNTIFS(Experiments!$D$2:$D$83,$A26,Experiments!$O$2:$O$83,"Not reported",Experiments!$T$2:$T$83,"yes")</f>
        <v>0</v>
      </c>
    </row>
    <row r="27" customFormat="false" ht="15" hidden="false" customHeight="false" outlineLevel="0" collapsed="false">
      <c r="A27" s="7" t="s">
        <v>61</v>
      </c>
      <c r="B27" s="7" t="str">
        <f aca="false">INDEX('Drug classes'!$B$2:$B$20,MATCH(A27,'Drug classes'!$A$2:$A$20,0))</f>
        <v>Broad anti-inflammatory</v>
      </c>
      <c r="C27" s="7" t="n">
        <f aca="false">COUNTIFS(Experiments!$D$2:$D$83,A27,Experiments!$T$2:$T$83,"yes")</f>
        <v>3</v>
      </c>
      <c r="D27" s="7" t="n">
        <f aca="false">COUNTIFS(Experiments!$D$2:$D$83,$A27,Experiments!$L$2:$L$83,"Systemic",Experiments!$T$2:$T$83,"yes")</f>
        <v>2</v>
      </c>
      <c r="E27" s="7" t="n">
        <f aca="false">COUNTIFS(Experiments!$D$2:$D$83,$A27,Experiments!$L$2:$L$83,"Intravitreal",Experiments!$T$2:$T$83,"yes")</f>
        <v>1</v>
      </c>
      <c r="F27" s="7" t="n">
        <f aca="false">COUNTIFS(Experiments!$D$2:$D$83,$A27,Experiments!$L$2:$L$83,"Topical",Experiments!$T$2:$T$83,"yes")</f>
        <v>0</v>
      </c>
      <c r="G27" s="7" t="n">
        <f aca="false">COUNTIFS(Experiments!$D$2:$D$83,$A27,Experiments!$L$2:$L$83,"Periocular",Experiments!$T$2:$T$83,"yes")</f>
        <v>0</v>
      </c>
      <c r="H27" s="7" t="n">
        <f aca="false">COUNTIFS(Experiments!$D$2:$D$83,$A27,Experiments!$L$2:$L$83,"Combined",Experiments!$T$2:$T$83,"yes")</f>
        <v>0</v>
      </c>
      <c r="I27" s="7" t="n">
        <f aca="false">COUNTIFS(Experiments!$D$2:$D$83,$A27,Experiments!$K$2:$K$83,"Acute injury",Experiments!$T$2:$T$83,"yes")</f>
        <v>0</v>
      </c>
      <c r="J27" s="7" t="n">
        <f aca="false">COUNTIFS(Experiments!$D$2:$D$83,$A27,Experiments!$K$2:$K$83,"Induced OHT",Experiments!$T$2:$T$83,"yes")</f>
        <v>2</v>
      </c>
      <c r="K27" s="7" t="n">
        <f aca="false">COUNTIFS(Experiments!$D$2:$D$83,$A27,Experiments!$K$2:$K$83,"Genetic / metabolic",Experiments!$T$2:$T$83,"yes")</f>
        <v>1</v>
      </c>
      <c r="L27" s="7" t="n">
        <f aca="false">COUNTIFS(Experiments!$D$2:$D$83,$A27,Experiments!$O$2:$O$83,"Single dose",Experiments!$T$2:$T$83,"yes")</f>
        <v>0</v>
      </c>
      <c r="M27" s="7" t="n">
        <f aca="false">COUNTIFS(Experiments!$D$2:$D$83,$A27,Experiments!$N$2:$N$83,"&gt;1",Experiments!$T$2:$T$83,"yes")</f>
        <v>3</v>
      </c>
      <c r="N27" s="7" t="n">
        <f aca="false">COUNTIFS(Experiments!$D$2:$D$83,$A27,Experiments!$O$2:$O$83,"Not reported",Experiments!$T$2:$T$83,"yes")</f>
        <v>0</v>
      </c>
    </row>
    <row r="28" customFormat="false" ht="15" hidden="false" customHeight="false" outlineLevel="0" collapsed="false">
      <c r="A28" s="7" t="s">
        <v>62</v>
      </c>
      <c r="B28" s="7" t="str">
        <f aca="false">INDEX('Drug classes'!$B$2:$B$20,MATCH(A28,'Drug classes'!$A$2:$A$20,0))</f>
        <v>Broad anti-inflammatory</v>
      </c>
      <c r="C28" s="7" t="n">
        <f aca="false">COUNTIFS(Experiments!$D$2:$D$83,A28,Experiments!$T$2:$T$83,"yes")</f>
        <v>14</v>
      </c>
      <c r="D28" s="7" t="n">
        <f aca="false">COUNTIFS(Experiments!$D$2:$D$83,$A28,Experiments!$L$2:$L$83,"Systemic",Experiments!$T$2:$T$83,"yes")</f>
        <v>10</v>
      </c>
      <c r="E28" s="7" t="n">
        <f aca="false">COUNTIFS(Experiments!$D$2:$D$83,$A28,Experiments!$L$2:$L$83,"Intravitreal",Experiments!$T$2:$T$83,"yes")</f>
        <v>3</v>
      </c>
      <c r="F28" s="7" t="n">
        <f aca="false">COUNTIFS(Experiments!$D$2:$D$83,$A28,Experiments!$L$2:$L$83,"Topical",Experiments!$T$2:$T$83,"yes")</f>
        <v>0</v>
      </c>
      <c r="G28" s="7" t="n">
        <f aca="false">COUNTIFS(Experiments!$D$2:$D$83,$A28,Experiments!$L$2:$L$83,"Periocular",Experiments!$T$2:$T$83,"yes")</f>
        <v>1</v>
      </c>
      <c r="H28" s="7" t="n">
        <f aca="false">COUNTIFS(Experiments!$D$2:$D$83,$A28,Experiments!$L$2:$L$83,"Combined",Experiments!$T$2:$T$83,"yes")</f>
        <v>0</v>
      </c>
      <c r="I28" s="7" t="n">
        <f aca="false">COUNTIFS(Experiments!$D$2:$D$83,$A28,Experiments!$K$2:$K$83,"Acute injury",Experiments!$T$2:$T$83,"yes")</f>
        <v>10</v>
      </c>
      <c r="J28" s="7" t="n">
        <f aca="false">COUNTIFS(Experiments!$D$2:$D$83,$A28,Experiments!$K$2:$K$83,"Induced OHT",Experiments!$T$2:$T$83,"yes")</f>
        <v>3</v>
      </c>
      <c r="K28" s="7" t="n">
        <f aca="false">COUNTIFS(Experiments!$D$2:$D$83,$A28,Experiments!$K$2:$K$83,"Genetic / metabolic",Experiments!$T$2:$T$83,"yes")</f>
        <v>1</v>
      </c>
      <c r="L28" s="7" t="n">
        <f aca="false">COUNTIFS(Experiments!$D$2:$D$83,$A28,Experiments!$O$2:$O$83,"Single dose",Experiments!$T$2:$T$83,"yes")</f>
        <v>4</v>
      </c>
      <c r="M28" s="7" t="n">
        <f aca="false">COUNTIFS(Experiments!$D$2:$D$83,$A28,Experiments!$N$2:$N$83,"&gt;1",Experiments!$T$2:$T$83,"yes")</f>
        <v>10</v>
      </c>
      <c r="N28" s="7" t="n">
        <f aca="false">COUNTIFS(Experiments!$D$2:$D$83,$A28,Experiments!$O$2:$O$83,"Not reported",Experiments!$T$2:$T$83,"yes")</f>
        <v>0</v>
      </c>
    </row>
    <row r="29" customFormat="false" ht="15" hidden="false" customHeight="false" outlineLevel="0" collapsed="false">
      <c r="A29" s="7" t="s">
        <v>63</v>
      </c>
      <c r="B29" s="7" t="str">
        <f aca="false">INDEX('Drug classes'!$B$2:$B$20,MATCH(A29,'Drug classes'!$A$2:$A$20,0))</f>
        <v>Broad anti-inflammatory</v>
      </c>
      <c r="C29" s="7" t="n">
        <f aca="false">COUNTIFS(Experiments!$D$2:$D$83,A29,Experiments!$T$2:$T$83,"yes")</f>
        <v>3</v>
      </c>
      <c r="D29" s="7" t="n">
        <f aca="false">COUNTIFS(Experiments!$D$2:$D$83,$A29,Experiments!$L$2:$L$83,"Systemic",Experiments!$T$2:$T$83,"yes")</f>
        <v>3</v>
      </c>
      <c r="E29" s="7" t="n">
        <f aca="false">COUNTIFS(Experiments!$D$2:$D$83,$A29,Experiments!$L$2:$L$83,"Intravitreal",Experiments!$T$2:$T$83,"yes")</f>
        <v>0</v>
      </c>
      <c r="F29" s="7" t="n">
        <f aca="false">COUNTIFS(Experiments!$D$2:$D$83,$A29,Experiments!$L$2:$L$83,"Topical",Experiments!$T$2:$T$83,"yes")</f>
        <v>0</v>
      </c>
      <c r="G29" s="7" t="n">
        <f aca="false">COUNTIFS(Experiments!$D$2:$D$83,$A29,Experiments!$L$2:$L$83,"Periocular",Experiments!$T$2:$T$83,"yes")</f>
        <v>0</v>
      </c>
      <c r="H29" s="7" t="n">
        <f aca="false">COUNTIFS(Experiments!$D$2:$D$83,$A29,Experiments!$L$2:$L$83,"Combined",Experiments!$T$2:$T$83,"yes")</f>
        <v>0</v>
      </c>
      <c r="I29" s="7" t="n">
        <f aca="false">COUNTIFS(Experiments!$D$2:$D$83,$A29,Experiments!$K$2:$K$83,"Acute injury",Experiments!$T$2:$T$83,"yes")</f>
        <v>3</v>
      </c>
      <c r="J29" s="7" t="n">
        <f aca="false">COUNTIFS(Experiments!$D$2:$D$83,$A29,Experiments!$K$2:$K$83,"Induced OHT",Experiments!$T$2:$T$83,"yes")</f>
        <v>0</v>
      </c>
      <c r="K29" s="7" t="n">
        <f aca="false">COUNTIFS(Experiments!$D$2:$D$83,$A29,Experiments!$K$2:$K$83,"Genetic / metabolic",Experiments!$T$2:$T$83,"yes")</f>
        <v>0</v>
      </c>
      <c r="L29" s="7" t="n">
        <f aca="false">COUNTIFS(Experiments!$D$2:$D$83,$A29,Experiments!$O$2:$O$83,"Single dose",Experiments!$T$2:$T$83,"yes")</f>
        <v>0</v>
      </c>
      <c r="M29" s="7" t="n">
        <f aca="false">COUNTIFS(Experiments!$D$2:$D$83,$A29,Experiments!$N$2:$N$83,"&gt;1",Experiments!$T$2:$T$83,"yes")</f>
        <v>3</v>
      </c>
      <c r="N29" s="7" t="n">
        <f aca="false">COUNTIFS(Experiments!$D$2:$D$83,$A29,Experiments!$O$2:$O$83,"Not reported",Experiments!$T$2:$T$83,"yes")</f>
        <v>0</v>
      </c>
    </row>
    <row r="30" customFormat="false" ht="15" hidden="false" customHeight="false" outlineLevel="0" collapsed="false">
      <c r="A30" s="7" t="s">
        <v>64</v>
      </c>
      <c r="B30" s="7" t="str">
        <f aca="false">INDEX('Drug classes'!$B$2:$B$20,MATCH(A30,'Drug classes'!$A$2:$A$20,0))</f>
        <v>Broad anti-inflammatory</v>
      </c>
      <c r="C30" s="7" t="n">
        <f aca="false">COUNTIFS(Experiments!$D$2:$D$83,A30,Experiments!$T$2:$T$83,"yes")</f>
        <v>1</v>
      </c>
      <c r="D30" s="7" t="n">
        <f aca="false">COUNTIFS(Experiments!$D$2:$D$83,$A30,Experiments!$L$2:$L$83,"Systemic",Experiments!$T$2:$T$83,"yes")</f>
        <v>0</v>
      </c>
      <c r="E30" s="7" t="n">
        <f aca="false">COUNTIFS(Experiments!$D$2:$D$83,$A30,Experiments!$L$2:$L$83,"Intravitreal",Experiments!$T$2:$T$83,"yes")</f>
        <v>1</v>
      </c>
      <c r="F30" s="7" t="n">
        <f aca="false">COUNTIFS(Experiments!$D$2:$D$83,$A30,Experiments!$L$2:$L$83,"Topical",Experiments!$T$2:$T$83,"yes")</f>
        <v>0</v>
      </c>
      <c r="G30" s="7" t="n">
        <f aca="false">COUNTIFS(Experiments!$D$2:$D$83,$A30,Experiments!$L$2:$L$83,"Periocular",Experiments!$T$2:$T$83,"yes")</f>
        <v>0</v>
      </c>
      <c r="H30" s="7" t="n">
        <f aca="false">COUNTIFS(Experiments!$D$2:$D$83,$A30,Experiments!$L$2:$L$83,"Combined",Experiments!$T$2:$T$83,"yes")</f>
        <v>0</v>
      </c>
      <c r="I30" s="7" t="n">
        <f aca="false">COUNTIFS(Experiments!$D$2:$D$83,$A30,Experiments!$K$2:$K$83,"Acute injury",Experiments!$T$2:$T$83,"yes")</f>
        <v>1</v>
      </c>
      <c r="J30" s="7" t="n">
        <f aca="false">COUNTIFS(Experiments!$D$2:$D$83,$A30,Experiments!$K$2:$K$83,"Induced OHT",Experiments!$T$2:$T$83,"yes")</f>
        <v>0</v>
      </c>
      <c r="K30" s="7" t="n">
        <f aca="false">COUNTIFS(Experiments!$D$2:$D$83,$A30,Experiments!$K$2:$K$83,"Genetic / metabolic",Experiments!$T$2:$T$83,"yes")</f>
        <v>0</v>
      </c>
      <c r="L30" s="7" t="n">
        <f aca="false">COUNTIFS(Experiments!$D$2:$D$83,$A30,Experiments!$O$2:$O$83,"Single dose",Experiments!$T$2:$T$83,"yes")</f>
        <v>1</v>
      </c>
      <c r="M30" s="7" t="n">
        <f aca="false">COUNTIFS(Experiments!$D$2:$D$83,$A30,Experiments!$N$2:$N$83,"&gt;1",Experiments!$T$2:$T$83,"yes")</f>
        <v>0</v>
      </c>
      <c r="N30" s="7" t="n">
        <f aca="false">COUNTIFS(Experiments!$D$2:$D$83,$A30,Experiments!$O$2:$O$83,"Not reported",Experiments!$T$2:$T$83,"yes")</f>
        <v>0</v>
      </c>
    </row>
    <row r="31" customFormat="false" ht="15" hidden="false" customHeight="false" outlineLevel="0" collapsed="false">
      <c r="A31" s="7" t="s">
        <v>65</v>
      </c>
      <c r="B31" s="7" t="str">
        <f aca="false">INDEX('Drug classes'!$B$2:$B$20,MATCH(A31,'Drug classes'!$A$2:$A$20,0))</f>
        <v>Broad anti-inflammatory</v>
      </c>
      <c r="C31" s="7" t="n">
        <f aca="false">COUNTIFS(Experiments!$D$2:$D$83,A31,Experiments!$T$2:$T$83,"yes")</f>
        <v>3</v>
      </c>
      <c r="D31" s="7" t="n">
        <f aca="false">COUNTIFS(Experiments!$D$2:$D$83,$A31,Experiments!$L$2:$L$83,"Systemic",Experiments!$T$2:$T$83,"yes")</f>
        <v>1</v>
      </c>
      <c r="E31" s="7" t="n">
        <f aca="false">COUNTIFS(Experiments!$D$2:$D$83,$A31,Experiments!$L$2:$L$83,"Intravitreal",Experiments!$T$2:$T$83,"yes")</f>
        <v>2</v>
      </c>
      <c r="F31" s="7" t="n">
        <f aca="false">COUNTIFS(Experiments!$D$2:$D$83,$A31,Experiments!$L$2:$L$83,"Topical",Experiments!$T$2:$T$83,"yes")</f>
        <v>0</v>
      </c>
      <c r="G31" s="7" t="n">
        <f aca="false">COUNTIFS(Experiments!$D$2:$D$83,$A31,Experiments!$L$2:$L$83,"Periocular",Experiments!$T$2:$T$83,"yes")</f>
        <v>0</v>
      </c>
      <c r="H31" s="7" t="n">
        <f aca="false">COUNTIFS(Experiments!$D$2:$D$83,$A31,Experiments!$L$2:$L$83,"Combined",Experiments!$T$2:$T$83,"yes")</f>
        <v>0</v>
      </c>
      <c r="I31" s="7" t="n">
        <f aca="false">COUNTIFS(Experiments!$D$2:$D$83,$A31,Experiments!$K$2:$K$83,"Acute injury",Experiments!$T$2:$T$83,"yes")</f>
        <v>2</v>
      </c>
      <c r="J31" s="7" t="n">
        <f aca="false">COUNTIFS(Experiments!$D$2:$D$83,$A31,Experiments!$K$2:$K$83,"Induced OHT",Experiments!$T$2:$T$83,"yes")</f>
        <v>1</v>
      </c>
      <c r="K31" s="7" t="n">
        <f aca="false">COUNTIFS(Experiments!$D$2:$D$83,$A31,Experiments!$K$2:$K$83,"Genetic / metabolic",Experiments!$T$2:$T$83,"yes")</f>
        <v>0</v>
      </c>
      <c r="L31" s="7" t="n">
        <f aca="false">COUNTIFS(Experiments!$D$2:$D$83,$A31,Experiments!$O$2:$O$83,"Single dose",Experiments!$T$2:$T$83,"yes")</f>
        <v>1</v>
      </c>
      <c r="M31" s="7" t="n">
        <f aca="false">COUNTIFS(Experiments!$D$2:$D$83,$A31,Experiments!$N$2:$N$83,"&gt;1",Experiments!$T$2:$T$83,"yes")</f>
        <v>2</v>
      </c>
      <c r="N31" s="7" t="n">
        <f aca="false">COUNTIFS(Experiments!$D$2:$D$83,$A31,Experiments!$O$2:$O$83,"Not reported",Experiments!$T$2:$T$83,"yes")</f>
        <v>0</v>
      </c>
    </row>
    <row r="32" customFormat="false" ht="15" hidden="false" customHeight="false" outlineLevel="0" collapsed="false">
      <c r="A32" s="7" t="s">
        <v>66</v>
      </c>
      <c r="B32" s="7" t="str">
        <f aca="false">INDEX('Drug classes'!$B$2:$B$20,MATCH(A32,'Drug classes'!$A$2:$A$20,0))</f>
        <v>Broad anti-inflammatory</v>
      </c>
      <c r="C32" s="7" t="n">
        <f aca="false">COUNTIFS(Experiments!$D$2:$D$83,A32,Experiments!$T$2:$T$83,"yes")</f>
        <v>3</v>
      </c>
      <c r="D32" s="7" t="n">
        <f aca="false">COUNTIFS(Experiments!$D$2:$D$83,$A32,Experiments!$L$2:$L$83,"Systemic",Experiments!$T$2:$T$83,"yes")</f>
        <v>3</v>
      </c>
      <c r="E32" s="7" t="n">
        <f aca="false">COUNTIFS(Experiments!$D$2:$D$83,$A32,Experiments!$L$2:$L$83,"Intravitreal",Experiments!$T$2:$T$83,"yes")</f>
        <v>0</v>
      </c>
      <c r="F32" s="7" t="n">
        <f aca="false">COUNTIFS(Experiments!$D$2:$D$83,$A32,Experiments!$L$2:$L$83,"Topical",Experiments!$T$2:$T$83,"yes")</f>
        <v>0</v>
      </c>
      <c r="G32" s="7" t="n">
        <f aca="false">COUNTIFS(Experiments!$D$2:$D$83,$A32,Experiments!$L$2:$L$83,"Periocular",Experiments!$T$2:$T$83,"yes")</f>
        <v>0</v>
      </c>
      <c r="H32" s="7" t="n">
        <f aca="false">COUNTIFS(Experiments!$D$2:$D$83,$A32,Experiments!$L$2:$L$83,"Combined",Experiments!$T$2:$T$83,"yes")</f>
        <v>0</v>
      </c>
      <c r="I32" s="7" t="n">
        <f aca="false">COUNTIFS(Experiments!$D$2:$D$83,$A32,Experiments!$K$2:$K$83,"Acute injury",Experiments!$T$2:$T$83,"yes")</f>
        <v>2</v>
      </c>
      <c r="J32" s="7" t="n">
        <f aca="false">COUNTIFS(Experiments!$D$2:$D$83,$A32,Experiments!$K$2:$K$83,"Induced OHT",Experiments!$T$2:$T$83,"yes")</f>
        <v>1</v>
      </c>
      <c r="K32" s="7" t="n">
        <f aca="false">COUNTIFS(Experiments!$D$2:$D$83,$A32,Experiments!$K$2:$K$83,"Genetic / metabolic",Experiments!$T$2:$T$83,"yes")</f>
        <v>0</v>
      </c>
      <c r="L32" s="7" t="n">
        <f aca="false">COUNTIFS(Experiments!$D$2:$D$83,$A32,Experiments!$O$2:$O$83,"Single dose",Experiments!$T$2:$T$83,"yes")</f>
        <v>3</v>
      </c>
      <c r="M32" s="7" t="n">
        <f aca="false">COUNTIFS(Experiments!$D$2:$D$83,$A32,Experiments!$N$2:$N$83,"&gt;1",Experiments!$T$2:$T$83,"yes")</f>
        <v>0</v>
      </c>
      <c r="N32" s="7" t="n">
        <f aca="false">COUNTIFS(Experiments!$D$2:$D$83,$A32,Experiments!$O$2:$O$83,"Not reported",Experiments!$T$2:$T$83,"yes")</f>
        <v>0</v>
      </c>
    </row>
    <row r="33" customFormat="false" ht="15" hidden="false" customHeight="false" outlineLevel="0" collapsed="false">
      <c r="A33" s="14" t="s">
        <v>67</v>
      </c>
      <c r="B33" s="15"/>
      <c r="C33" s="14" t="n">
        <f aca="false">SUM(C14:C32)</f>
        <v>80</v>
      </c>
      <c r="D33" s="14" t="n">
        <f aca="false">SUM(D14:D32)</f>
        <v>46</v>
      </c>
      <c r="E33" s="14" t="n">
        <f aca="false">SUM(E14:E32)</f>
        <v>25</v>
      </c>
      <c r="F33" s="14" t="n">
        <f aca="false">SUM(F14:F32)</f>
        <v>6</v>
      </c>
      <c r="G33" s="14" t="n">
        <f aca="false">SUM(G14:G32)</f>
        <v>2</v>
      </c>
      <c r="H33" s="14" t="n">
        <f aca="false">SUM(H14:H32)</f>
        <v>1</v>
      </c>
      <c r="I33" s="14" t="n">
        <f aca="false">SUM(I14:I32)</f>
        <v>51</v>
      </c>
      <c r="J33" s="14" t="n">
        <f aca="false">SUM(J14:J32)</f>
        <v>19</v>
      </c>
      <c r="K33" s="14" t="n">
        <f aca="false">SUM(K14:K32)</f>
        <v>10</v>
      </c>
      <c r="L33" s="14" t="n">
        <f aca="false">SUM(L14:L32)</f>
        <v>30</v>
      </c>
      <c r="M33" s="14" t="n">
        <f aca="false">SUM(M14:M32)</f>
        <v>49</v>
      </c>
      <c r="N33" s="14" t="n">
        <f aca="false">SUM(N14:N32)</f>
        <v>1</v>
      </c>
    </row>
    <row r="34" customFormat="false" ht="15" hidden="false" customHeight="false" outlineLevel="0" collapsed="false">
      <c r="A34" s="16"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2"/>
    <col collapsed="false" customWidth="true" hidden="false" outlineLevel="0" max="4" min="4" style="0" width="17"/>
    <col collapsed="false" customWidth="true" hidden="false" outlineLevel="0" max="5" min="5" style="0" width="24"/>
    <col collapsed="false" customWidth="true" hidden="false" outlineLevel="0" max="7" min="6" style="0" width="10"/>
    <col collapsed="false" customWidth="true" hidden="false" outlineLevel="0" max="8" min="8" style="0" width="15"/>
    <col collapsed="false" customWidth="true" hidden="false" outlineLevel="0" max="9" min="9" style="0" width="40"/>
    <col collapsed="false" customWidth="true" hidden="false" outlineLevel="0" max="10" min="10" style="0" width="34"/>
    <col collapsed="false" customWidth="true" hidden="false" outlineLevel="0" max="11" min="11" style="0" width="20"/>
    <col collapsed="false" customWidth="true" hidden="false" outlineLevel="0" max="12" min="12" style="0" width="14"/>
    <col collapsed="false" customWidth="true" hidden="false" outlineLevel="0" max="13" min="13" style="0" width="46"/>
    <col collapsed="false" customWidth="true" hidden="false" outlineLevel="0" max="14" min="14" style="0" width="13"/>
    <col collapsed="false" customWidth="true" hidden="false" outlineLevel="0" max="15" min="15" style="0" width="14"/>
    <col collapsed="false" customWidth="true" hidden="false" outlineLevel="0" max="16" min="16" style="0" width="10"/>
    <col collapsed="false" customWidth="true" hidden="false" outlineLevel="0" max="17" min="17" style="0" width="16"/>
    <col collapsed="false" customWidth="true" hidden="false" outlineLevel="0" max="19" min="18" style="0" width="11"/>
    <col collapsed="false" customWidth="true" hidden="false" outlineLevel="0" max="20" min="20" style="0" width="9"/>
  </cols>
  <sheetData>
    <row r="1" customFormat="false" ht="39.55" hidden="false" customHeight="false" outlineLevel="0" collapsed="false">
      <c r="A1" s="6" t="s">
        <v>69</v>
      </c>
      <c r="B1" s="6" t="s">
        <v>70</v>
      </c>
      <c r="C1" s="6" t="s">
        <v>71</v>
      </c>
      <c r="D1" s="6" t="s">
        <v>34</v>
      </c>
      <c r="E1" s="6" t="s">
        <v>72</v>
      </c>
      <c r="F1" s="6" t="s">
        <v>73</v>
      </c>
      <c r="G1" s="6" t="s">
        <v>74</v>
      </c>
      <c r="H1" s="6" t="s">
        <v>75</v>
      </c>
      <c r="I1" s="6" t="s">
        <v>76</v>
      </c>
      <c r="J1" s="6" t="s">
        <v>77</v>
      </c>
      <c r="K1" s="6" t="s">
        <v>78</v>
      </c>
      <c r="L1" s="6" t="s">
        <v>79</v>
      </c>
      <c r="M1" s="6" t="s">
        <v>80</v>
      </c>
      <c r="N1" s="6" t="s">
        <v>81</v>
      </c>
      <c r="O1" s="6" t="s">
        <v>82</v>
      </c>
      <c r="P1" s="6" t="s">
        <v>83</v>
      </c>
      <c r="Q1" s="6" t="s">
        <v>84</v>
      </c>
      <c r="R1" s="6" t="s">
        <v>85</v>
      </c>
      <c r="S1" s="6" t="s">
        <v>86</v>
      </c>
      <c r="T1" s="6" t="s">
        <v>87</v>
      </c>
    </row>
    <row r="2" customFormat="false" ht="26.85" hidden="false" customHeight="false" outlineLevel="0" collapsed="false">
      <c r="A2" s="17" t="n">
        <v>1</v>
      </c>
      <c r="B2" s="17" t="s">
        <v>88</v>
      </c>
      <c r="C2" s="17" t="s">
        <v>88</v>
      </c>
      <c r="D2" s="17" t="s">
        <v>48</v>
      </c>
      <c r="E2" s="17" t="str">
        <f aca="false">INDEX('Drug classes'!$B$2:$B$20,MATCH(D2,'Drug classes'!$A$2:$A$20,0))</f>
        <v>TNF / RIPK / MAPK</v>
      </c>
      <c r="F2" s="17" t="n">
        <v>1</v>
      </c>
      <c r="G2" s="17" t="n">
        <v>55</v>
      </c>
      <c r="H2" s="17" t="s">
        <v>89</v>
      </c>
      <c r="I2" s="2" t="s">
        <v>90</v>
      </c>
      <c r="J2" s="17" t="s">
        <v>91</v>
      </c>
      <c r="K2" s="17" t="s">
        <v>43</v>
      </c>
      <c r="L2" s="17" t="s">
        <v>37</v>
      </c>
      <c r="M2" s="2" t="s">
        <v>92</v>
      </c>
      <c r="N2" s="17" t="n">
        <v>28</v>
      </c>
      <c r="O2" s="17" t="str">
        <f aca="false">IF(N2="","Not reported",IF(N2&lt;=1,"Single dose",IF(N2&lt;=7,"2–7 days",IF(N2&lt;=28,"8–28 days",IF(N2&lt;=90,"1–3 months","&gt; 3 months")))))</f>
        <v>8–28 days</v>
      </c>
      <c r="P2" s="17" t="n">
        <v>28</v>
      </c>
      <c r="Q2" s="17" t="s">
        <v>93</v>
      </c>
      <c r="R2" s="17" t="s">
        <v>94</v>
      </c>
      <c r="S2" s="17" t="s">
        <v>94</v>
      </c>
      <c r="T2" s="17" t="str">
        <f aca="false">IF(AND(R2="yes",S2="yes"),"yes","no")</f>
        <v>yes</v>
      </c>
    </row>
    <row r="3" customFormat="false" ht="15" hidden="false" customHeight="false" outlineLevel="0" collapsed="false">
      <c r="A3" s="17" t="n">
        <v>2</v>
      </c>
      <c r="B3" s="17" t="s">
        <v>88</v>
      </c>
      <c r="C3" s="17" t="s">
        <v>88</v>
      </c>
      <c r="D3" s="17" t="s">
        <v>48</v>
      </c>
      <c r="E3" s="17" t="str">
        <f aca="false">INDEX('Drug classes'!$B$2:$B$20,MATCH(D3,'Drug classes'!$A$2:$A$20,0))</f>
        <v>TNF / RIPK / MAPK</v>
      </c>
      <c r="F3" s="17" t="n">
        <v>1</v>
      </c>
      <c r="G3" s="17" t="n">
        <v>56</v>
      </c>
      <c r="H3" s="17" t="s">
        <v>95</v>
      </c>
      <c r="I3" s="2" t="s">
        <v>96</v>
      </c>
      <c r="J3" s="17" t="s">
        <v>96</v>
      </c>
      <c r="K3" s="17" t="s">
        <v>42</v>
      </c>
      <c r="L3" s="17" t="s">
        <v>37</v>
      </c>
      <c r="M3" s="2" t="s">
        <v>97</v>
      </c>
      <c r="N3" s="17" t="n">
        <v>7</v>
      </c>
      <c r="O3" s="17" t="str">
        <f aca="false">IF(N3="","Not reported",IF(N3&lt;=1,"Single dose",IF(N3&lt;=7,"2–7 days",IF(N3&lt;=28,"8–28 days",IF(N3&lt;=90,"1–3 months","&gt; 3 months")))))</f>
        <v>2–7 days</v>
      </c>
      <c r="P3" s="17" t="n">
        <v>14</v>
      </c>
      <c r="Q3" s="17" t="s">
        <v>93</v>
      </c>
      <c r="R3" s="17" t="s">
        <v>94</v>
      </c>
      <c r="S3" s="17" t="s">
        <v>94</v>
      </c>
      <c r="T3" s="17" t="str">
        <f aca="false">IF(AND(R3="yes",S3="yes"),"yes","no")</f>
        <v>yes</v>
      </c>
    </row>
    <row r="4" customFormat="false" ht="26.85" hidden="false" customHeight="false" outlineLevel="0" collapsed="false">
      <c r="A4" s="17" t="n">
        <v>3</v>
      </c>
      <c r="B4" s="17" t="s">
        <v>88</v>
      </c>
      <c r="C4" s="17" t="s">
        <v>88</v>
      </c>
      <c r="D4" s="17" t="s">
        <v>48</v>
      </c>
      <c r="E4" s="17" t="str">
        <f aca="false">INDEX('Drug classes'!$B$2:$B$20,MATCH(D4,'Drug classes'!$A$2:$A$20,0))</f>
        <v>TNF / RIPK / MAPK</v>
      </c>
      <c r="F4" s="17" t="n">
        <v>1</v>
      </c>
      <c r="G4" s="17" t="n">
        <v>56</v>
      </c>
      <c r="H4" s="17" t="s">
        <v>95</v>
      </c>
      <c r="I4" s="2" t="s">
        <v>98</v>
      </c>
      <c r="J4" s="17" t="s">
        <v>99</v>
      </c>
      <c r="K4" s="17" t="s">
        <v>42</v>
      </c>
      <c r="L4" s="17" t="s">
        <v>37</v>
      </c>
      <c r="M4" s="2" t="s">
        <v>97</v>
      </c>
      <c r="N4" s="17" t="n">
        <v>7</v>
      </c>
      <c r="O4" s="17" t="str">
        <f aca="false">IF(N4="","Not reported",IF(N4&lt;=1,"Single dose",IF(N4&lt;=7,"2–7 days",IF(N4&lt;=28,"8–28 days",IF(N4&lt;=90,"1–3 months","&gt; 3 months")))))</f>
        <v>2–7 days</v>
      </c>
      <c r="P4" s="17" t="n">
        <v>28</v>
      </c>
      <c r="Q4" s="17" t="s">
        <v>93</v>
      </c>
      <c r="R4" s="17" t="s">
        <v>100</v>
      </c>
      <c r="S4" s="17" t="s">
        <v>94</v>
      </c>
      <c r="T4" s="17" t="str">
        <f aca="false">IF(AND(R4="yes",S4="yes"),"yes","no")</f>
        <v>no</v>
      </c>
    </row>
    <row r="5" customFormat="false" ht="15" hidden="false" customHeight="false" outlineLevel="0" collapsed="false">
      <c r="A5" s="17" t="n">
        <v>4</v>
      </c>
      <c r="B5" s="17" t="s">
        <v>88</v>
      </c>
      <c r="C5" s="17" t="s">
        <v>88</v>
      </c>
      <c r="D5" s="17" t="s">
        <v>48</v>
      </c>
      <c r="E5" s="17" t="str">
        <f aca="false">INDEX('Drug classes'!$B$2:$B$20,MATCH(D5,'Drug classes'!$A$2:$A$20,0))</f>
        <v>TNF / RIPK / MAPK</v>
      </c>
      <c r="F5" s="17" t="n">
        <v>1</v>
      </c>
      <c r="G5" s="17" t="n">
        <v>57</v>
      </c>
      <c r="H5" s="17" t="s">
        <v>89</v>
      </c>
      <c r="I5" s="2" t="s">
        <v>101</v>
      </c>
      <c r="J5" s="17" t="s">
        <v>102</v>
      </c>
      <c r="K5" s="17" t="s">
        <v>42</v>
      </c>
      <c r="L5" s="17" t="s">
        <v>37</v>
      </c>
      <c r="M5" s="2" t="s">
        <v>97</v>
      </c>
      <c r="N5" s="17" t="n">
        <v>28</v>
      </c>
      <c r="O5" s="17" t="str">
        <f aca="false">IF(N5="","Not reported",IF(N5&lt;=1,"Single dose",IF(N5&lt;=7,"2–7 days",IF(N5&lt;=28,"8–28 days",IF(N5&lt;=90,"1–3 months","&gt; 3 months")))))</f>
        <v>8–28 days</v>
      </c>
      <c r="P5" s="17" t="n">
        <v>28</v>
      </c>
      <c r="Q5" s="17" t="s">
        <v>93</v>
      </c>
      <c r="R5" s="17" t="s">
        <v>94</v>
      </c>
      <c r="S5" s="17" t="s">
        <v>94</v>
      </c>
      <c r="T5" s="17" t="str">
        <f aca="false">IF(AND(R5="yes",S5="yes"),"yes","no")</f>
        <v>yes</v>
      </c>
    </row>
    <row r="6" customFormat="false" ht="15" hidden="false" customHeight="false" outlineLevel="0" collapsed="false">
      <c r="A6" s="17" t="n">
        <v>5</v>
      </c>
      <c r="B6" s="17" t="s">
        <v>103</v>
      </c>
      <c r="C6" s="17" t="s">
        <v>103</v>
      </c>
      <c r="D6" s="17" t="s">
        <v>48</v>
      </c>
      <c r="E6" s="17" t="str">
        <f aca="false">INDEX('Drug classes'!$B$2:$B$20,MATCH(D6,'Drug classes'!$A$2:$A$20,0))</f>
        <v>TNF / RIPK / MAPK</v>
      </c>
      <c r="F6" s="17" t="n">
        <v>1</v>
      </c>
      <c r="G6" s="17" t="n">
        <v>58</v>
      </c>
      <c r="H6" s="17" t="s">
        <v>95</v>
      </c>
      <c r="I6" s="2" t="s">
        <v>104</v>
      </c>
      <c r="J6" s="17" t="s">
        <v>104</v>
      </c>
      <c r="K6" s="17" t="s">
        <v>42</v>
      </c>
      <c r="L6" s="17" t="s">
        <v>37</v>
      </c>
      <c r="M6" s="2" t="s">
        <v>105</v>
      </c>
      <c r="N6" s="17" t="n">
        <v>1</v>
      </c>
      <c r="O6" s="17" t="str">
        <f aca="false">IF(N6="","Not reported",IF(N6&lt;=1,"Single dose",IF(N6&lt;=7,"2–7 days",IF(N6&lt;=28,"8–28 days",IF(N6&lt;=90,"1–3 months","&gt; 3 months")))))</f>
        <v>Single dose</v>
      </c>
      <c r="P6" s="17"/>
      <c r="Q6" s="17" t="s">
        <v>93</v>
      </c>
      <c r="R6" s="17" t="s">
        <v>94</v>
      </c>
      <c r="S6" s="17" t="s">
        <v>94</v>
      </c>
      <c r="T6" s="17" t="str">
        <f aca="false">IF(AND(R6="yes",S6="yes"),"yes","no")</f>
        <v>yes</v>
      </c>
    </row>
    <row r="7" customFormat="false" ht="15" hidden="false" customHeight="false" outlineLevel="0" collapsed="false">
      <c r="A7" s="17" t="n">
        <v>6</v>
      </c>
      <c r="B7" s="17" t="s">
        <v>103</v>
      </c>
      <c r="C7" s="17" t="s">
        <v>103</v>
      </c>
      <c r="D7" s="17" t="s">
        <v>48</v>
      </c>
      <c r="E7" s="17" t="str">
        <f aca="false">INDEX('Drug classes'!$B$2:$B$20,MATCH(D7,'Drug classes'!$A$2:$A$20,0))</f>
        <v>TNF / RIPK / MAPK</v>
      </c>
      <c r="F7" s="17" t="n">
        <v>1</v>
      </c>
      <c r="G7" s="17" t="n">
        <v>59</v>
      </c>
      <c r="H7" s="17" t="s">
        <v>95</v>
      </c>
      <c r="I7" s="2" t="s">
        <v>104</v>
      </c>
      <c r="J7" s="17" t="s">
        <v>104</v>
      </c>
      <c r="K7" s="17" t="s">
        <v>42</v>
      </c>
      <c r="L7" s="17" t="s">
        <v>37</v>
      </c>
      <c r="M7" s="2" t="s">
        <v>105</v>
      </c>
      <c r="N7" s="17" t="n">
        <v>1</v>
      </c>
      <c r="O7" s="17" t="str">
        <f aca="false">IF(N7="","Not reported",IF(N7&lt;=1,"Single dose",IF(N7&lt;=7,"2–7 days",IF(N7&lt;=28,"8–28 days",IF(N7&lt;=90,"1–3 months","&gt; 3 months")))))</f>
        <v>Single dose</v>
      </c>
      <c r="P7" s="17" t="n">
        <v>1</v>
      </c>
      <c r="Q7" s="17" t="s">
        <v>93</v>
      </c>
      <c r="R7" s="17" t="s">
        <v>94</v>
      </c>
      <c r="S7" s="17" t="s">
        <v>94</v>
      </c>
      <c r="T7" s="17" t="str">
        <f aca="false">IF(AND(R7="yes",S7="yes"),"yes","no")</f>
        <v>yes</v>
      </c>
    </row>
    <row r="8" customFormat="false" ht="15" hidden="false" customHeight="false" outlineLevel="0" collapsed="false">
      <c r="A8" s="17" t="n">
        <v>7</v>
      </c>
      <c r="B8" s="17" t="s">
        <v>103</v>
      </c>
      <c r="C8" s="17" t="s">
        <v>103</v>
      </c>
      <c r="D8" s="17" t="s">
        <v>48</v>
      </c>
      <c r="E8" s="17" t="str">
        <f aca="false">INDEX('Drug classes'!$B$2:$B$20,MATCH(D8,'Drug classes'!$A$2:$A$20,0))</f>
        <v>TNF / RIPK / MAPK</v>
      </c>
      <c r="F8" s="17" t="n">
        <v>1</v>
      </c>
      <c r="G8" s="17" t="n">
        <v>59</v>
      </c>
      <c r="H8" s="17" t="s">
        <v>106</v>
      </c>
      <c r="I8" s="2" t="s">
        <v>104</v>
      </c>
      <c r="J8" s="17" t="s">
        <v>104</v>
      </c>
      <c r="K8" s="17" t="s">
        <v>42</v>
      </c>
      <c r="L8" s="17" t="s">
        <v>37</v>
      </c>
      <c r="M8" s="2" t="s">
        <v>107</v>
      </c>
      <c r="N8" s="17" t="n">
        <v>1</v>
      </c>
      <c r="O8" s="17" t="str">
        <f aca="false">IF(N8="","Not reported",IF(N8&lt;=1,"Single dose",IF(N8&lt;=7,"2–7 days",IF(N8&lt;=28,"8–28 days",IF(N8&lt;=90,"1–3 months","&gt; 3 months")))))</f>
        <v>Single dose</v>
      </c>
      <c r="P8" s="17"/>
      <c r="Q8" s="17" t="s">
        <v>93</v>
      </c>
      <c r="R8" s="17" t="s">
        <v>94</v>
      </c>
      <c r="S8" s="17" t="s">
        <v>94</v>
      </c>
      <c r="T8" s="17" t="str">
        <f aca="false">IF(AND(R8="yes",S8="yes"),"yes","no")</f>
        <v>yes</v>
      </c>
    </row>
    <row r="9" customFormat="false" ht="15" hidden="false" customHeight="false" outlineLevel="0" collapsed="false">
      <c r="A9" s="17" t="n">
        <v>8</v>
      </c>
      <c r="B9" s="17" t="s">
        <v>108</v>
      </c>
      <c r="C9" s="17" t="s">
        <v>108</v>
      </c>
      <c r="D9" s="17" t="s">
        <v>48</v>
      </c>
      <c r="E9" s="17" t="str">
        <f aca="false">INDEX('Drug classes'!$B$2:$B$20,MATCH(D9,'Drug classes'!$A$2:$A$20,0))</f>
        <v>TNF / RIPK / MAPK</v>
      </c>
      <c r="F9" s="17" t="n">
        <v>1</v>
      </c>
      <c r="G9" s="17" t="n">
        <v>60</v>
      </c>
      <c r="H9" s="17" t="s">
        <v>106</v>
      </c>
      <c r="I9" s="2" t="s">
        <v>104</v>
      </c>
      <c r="J9" s="17" t="s">
        <v>104</v>
      </c>
      <c r="K9" s="17" t="s">
        <v>42</v>
      </c>
      <c r="L9" s="17" t="s">
        <v>109</v>
      </c>
      <c r="M9" s="2" t="s">
        <v>110</v>
      </c>
      <c r="N9" s="17" t="n">
        <v>1</v>
      </c>
      <c r="O9" s="17" t="str">
        <f aca="false">IF(N9="","Not reported",IF(N9&lt;=1,"Single dose",IF(N9&lt;=7,"2–7 days",IF(N9&lt;=28,"8–28 days",IF(N9&lt;=90,"1–3 months","&gt; 3 months")))))</f>
        <v>Single dose</v>
      </c>
      <c r="P9" s="17" t="n">
        <v>90</v>
      </c>
      <c r="Q9" s="17" t="s">
        <v>93</v>
      </c>
      <c r="R9" s="17" t="s">
        <v>94</v>
      </c>
      <c r="S9" s="17" t="s">
        <v>94</v>
      </c>
      <c r="T9" s="17" t="str">
        <f aca="false">IF(AND(R9="yes",S9="yes"),"yes","no")</f>
        <v>yes</v>
      </c>
    </row>
    <row r="10" customFormat="false" ht="26.85" hidden="false" customHeight="false" outlineLevel="0" collapsed="false">
      <c r="A10" s="17" t="n">
        <v>9</v>
      </c>
      <c r="B10" s="17" t="s">
        <v>111</v>
      </c>
      <c r="C10" s="17" t="s">
        <v>111</v>
      </c>
      <c r="D10" s="17" t="s">
        <v>48</v>
      </c>
      <c r="E10" s="17" t="str">
        <f aca="false">INDEX('Drug classes'!$B$2:$B$20,MATCH(D10,'Drug classes'!$A$2:$A$20,0))</f>
        <v>TNF / RIPK / MAPK</v>
      </c>
      <c r="F10" s="17" t="n">
        <v>1</v>
      </c>
      <c r="G10" s="17" t="n">
        <v>49</v>
      </c>
      <c r="H10" s="17" t="s">
        <v>89</v>
      </c>
      <c r="I10" s="2" t="s">
        <v>112</v>
      </c>
      <c r="J10" s="17" t="s">
        <v>113</v>
      </c>
      <c r="K10" s="17" t="s">
        <v>43</v>
      </c>
      <c r="L10" s="17" t="s">
        <v>38</v>
      </c>
      <c r="M10" s="2" t="s">
        <v>114</v>
      </c>
      <c r="N10" s="17" t="n">
        <v>8</v>
      </c>
      <c r="O10" s="17" t="str">
        <f aca="false">IF(N10="","Not reported",IF(N10&lt;=1,"Single dose",IF(N10&lt;=7,"2–7 days",IF(N10&lt;=28,"8–28 days",IF(N10&lt;=90,"1–3 months","&gt; 3 months")))))</f>
        <v>8–28 days</v>
      </c>
      <c r="P10" s="17" t="n">
        <v>21</v>
      </c>
      <c r="Q10" s="17" t="s">
        <v>93</v>
      </c>
      <c r="R10" s="17" t="s">
        <v>94</v>
      </c>
      <c r="S10" s="17" t="s">
        <v>94</v>
      </c>
      <c r="T10" s="17" t="str">
        <f aca="false">IF(AND(R10="yes",S10="yes"),"yes","no")</f>
        <v>yes</v>
      </c>
    </row>
    <row r="11" customFormat="false" ht="15" hidden="false" customHeight="false" outlineLevel="0" collapsed="false">
      <c r="A11" s="17" t="n">
        <v>10</v>
      </c>
      <c r="B11" s="17" t="s">
        <v>115</v>
      </c>
      <c r="C11" s="17" t="s">
        <v>115</v>
      </c>
      <c r="D11" s="17" t="s">
        <v>48</v>
      </c>
      <c r="E11" s="17" t="str">
        <f aca="false">INDEX('Drug classes'!$B$2:$B$20,MATCH(D11,'Drug classes'!$A$2:$A$20,0))</f>
        <v>TNF / RIPK / MAPK</v>
      </c>
      <c r="F11" s="17" t="n">
        <v>1</v>
      </c>
      <c r="G11" s="17" t="n">
        <v>62</v>
      </c>
      <c r="H11" s="17" t="s">
        <v>95</v>
      </c>
      <c r="I11" s="2" t="s">
        <v>96</v>
      </c>
      <c r="J11" s="17" t="s">
        <v>96</v>
      </c>
      <c r="K11" s="17" t="s">
        <v>42</v>
      </c>
      <c r="L11" s="17" t="s">
        <v>37</v>
      </c>
      <c r="M11" s="2" t="s">
        <v>116</v>
      </c>
      <c r="N11" s="17" t="n">
        <v>14</v>
      </c>
      <c r="O11" s="17" t="str">
        <f aca="false">IF(N11="","Not reported",IF(N11&lt;=1,"Single dose",IF(N11&lt;=7,"2–7 days",IF(N11&lt;=28,"8–28 days",IF(N11&lt;=90,"1–3 months","&gt; 3 months")))))</f>
        <v>8–28 days</v>
      </c>
      <c r="P11" s="17" t="n">
        <v>14</v>
      </c>
      <c r="Q11" s="17" t="s">
        <v>93</v>
      </c>
      <c r="R11" s="17" t="s">
        <v>94</v>
      </c>
      <c r="S11" s="17" t="s">
        <v>94</v>
      </c>
      <c r="T11" s="17" t="str">
        <f aca="false">IF(AND(R11="yes",S11="yes"),"yes","no")</f>
        <v>yes</v>
      </c>
    </row>
    <row r="12" customFormat="false" ht="15" hidden="false" customHeight="false" outlineLevel="0" collapsed="false">
      <c r="A12" s="17" t="n">
        <v>11</v>
      </c>
      <c r="B12" s="17" t="s">
        <v>115</v>
      </c>
      <c r="C12" s="17" t="s">
        <v>115</v>
      </c>
      <c r="D12" s="17" t="s">
        <v>48</v>
      </c>
      <c r="E12" s="17" t="str">
        <f aca="false">INDEX('Drug classes'!$B$2:$B$20,MATCH(D12,'Drug classes'!$A$2:$A$20,0))</f>
        <v>TNF / RIPK / MAPK</v>
      </c>
      <c r="F12" s="17" t="n">
        <v>1</v>
      </c>
      <c r="G12" s="17" t="n">
        <v>62</v>
      </c>
      <c r="H12" s="17" t="s">
        <v>95</v>
      </c>
      <c r="I12" s="2" t="s">
        <v>96</v>
      </c>
      <c r="J12" s="17" t="s">
        <v>96</v>
      </c>
      <c r="K12" s="17" t="s">
        <v>42</v>
      </c>
      <c r="L12" s="17" t="s">
        <v>38</v>
      </c>
      <c r="M12" s="2" t="s">
        <v>117</v>
      </c>
      <c r="N12" s="17" t="n">
        <v>1</v>
      </c>
      <c r="O12" s="17" t="str">
        <f aca="false">IF(N12="","Not reported",IF(N12&lt;=1,"Single dose",IF(N12&lt;=7,"2–7 days",IF(N12&lt;=28,"8–28 days",IF(N12&lt;=90,"1–3 months","&gt; 3 months")))))</f>
        <v>Single dose</v>
      </c>
      <c r="P12" s="17" t="n">
        <v>14</v>
      </c>
      <c r="Q12" s="17" t="s">
        <v>93</v>
      </c>
      <c r="R12" s="17" t="s">
        <v>94</v>
      </c>
      <c r="S12" s="17" t="s">
        <v>94</v>
      </c>
      <c r="T12" s="17" t="str">
        <f aca="false">IF(AND(R12="yes",S12="yes"),"yes","no")</f>
        <v>yes</v>
      </c>
    </row>
    <row r="13" customFormat="false" ht="15" hidden="false" customHeight="false" outlineLevel="0" collapsed="false">
      <c r="A13" s="17" t="n">
        <v>12</v>
      </c>
      <c r="B13" s="17" t="s">
        <v>115</v>
      </c>
      <c r="C13" s="17" t="s">
        <v>115</v>
      </c>
      <c r="D13" s="17" t="s">
        <v>48</v>
      </c>
      <c r="E13" s="17" t="str">
        <f aca="false">INDEX('Drug classes'!$B$2:$B$20,MATCH(D13,'Drug classes'!$A$2:$A$20,0))</f>
        <v>TNF / RIPK / MAPK</v>
      </c>
      <c r="F13" s="17" t="n">
        <v>1</v>
      </c>
      <c r="G13" s="17" t="n">
        <v>62</v>
      </c>
      <c r="H13" s="17" t="s">
        <v>95</v>
      </c>
      <c r="I13" s="2" t="s">
        <v>96</v>
      </c>
      <c r="J13" s="17" t="s">
        <v>96</v>
      </c>
      <c r="K13" s="17" t="s">
        <v>42</v>
      </c>
      <c r="L13" s="17" t="s">
        <v>118</v>
      </c>
      <c r="M13" s="2" t="s">
        <v>119</v>
      </c>
      <c r="N13" s="17" t="n">
        <v>5</v>
      </c>
      <c r="O13" s="17" t="str">
        <f aca="false">IF(N13="","Not reported",IF(N13&lt;=1,"Single dose",IF(N13&lt;=7,"2–7 days",IF(N13&lt;=28,"8–28 days",IF(N13&lt;=90,"1–3 months","&gt; 3 months")))))</f>
        <v>2–7 days</v>
      </c>
      <c r="P13" s="17" t="n">
        <v>5</v>
      </c>
      <c r="Q13" s="17" t="s">
        <v>93</v>
      </c>
      <c r="R13" s="17" t="s">
        <v>94</v>
      </c>
      <c r="S13" s="17" t="s">
        <v>94</v>
      </c>
      <c r="T13" s="17" t="str">
        <f aca="false">IF(AND(R13="yes",S13="yes"),"yes","no")</f>
        <v>yes</v>
      </c>
    </row>
    <row r="14" customFormat="false" ht="15" hidden="false" customHeight="false" outlineLevel="0" collapsed="false">
      <c r="A14" s="17" t="n">
        <v>13</v>
      </c>
      <c r="B14" s="17" t="s">
        <v>120</v>
      </c>
      <c r="C14" s="17" t="s">
        <v>120</v>
      </c>
      <c r="D14" s="17" t="s">
        <v>49</v>
      </c>
      <c r="E14" s="17" t="str">
        <f aca="false">INDEX('Drug classes'!$B$2:$B$20,MATCH(D14,'Drug classes'!$A$2:$A$20,0))</f>
        <v>TLR4 / IL-1R / NF-κB</v>
      </c>
      <c r="F14" s="17" t="n">
        <v>1</v>
      </c>
      <c r="G14" s="17" t="n">
        <v>71</v>
      </c>
      <c r="H14" s="17" t="s">
        <v>89</v>
      </c>
      <c r="I14" s="2" t="s">
        <v>121</v>
      </c>
      <c r="J14" s="17" t="s">
        <v>102</v>
      </c>
      <c r="K14" s="17" t="s">
        <v>42</v>
      </c>
      <c r="L14" s="17" t="s">
        <v>38</v>
      </c>
      <c r="M14" s="2" t="s">
        <v>122</v>
      </c>
      <c r="N14" s="17" t="n">
        <v>1</v>
      </c>
      <c r="O14" s="17" t="str">
        <f aca="false">IF(N14="","Not reported",IF(N14&lt;=1,"Single dose",IF(N14&lt;=7,"2–7 days",IF(N14&lt;=28,"8–28 days",IF(N14&lt;=90,"1–3 months","&gt; 3 months")))))</f>
        <v>Single dose</v>
      </c>
      <c r="P14" s="17" t="n">
        <v>7</v>
      </c>
      <c r="Q14" s="17" t="s">
        <v>93</v>
      </c>
      <c r="R14" s="17" t="s">
        <v>94</v>
      </c>
      <c r="S14" s="17" t="s">
        <v>94</v>
      </c>
      <c r="T14" s="17" t="str">
        <f aca="false">IF(AND(R14="yes",S14="yes"),"yes","no")</f>
        <v>yes</v>
      </c>
    </row>
    <row r="15" customFormat="false" ht="15" hidden="false" customHeight="false" outlineLevel="0" collapsed="false">
      <c r="A15" s="17" t="n">
        <v>14</v>
      </c>
      <c r="B15" s="17" t="s">
        <v>123</v>
      </c>
      <c r="C15" s="17" t="s">
        <v>123</v>
      </c>
      <c r="D15" s="17" t="s">
        <v>49</v>
      </c>
      <c r="E15" s="17" t="str">
        <f aca="false">INDEX('Drug classes'!$B$2:$B$20,MATCH(D15,'Drug classes'!$A$2:$A$20,0))</f>
        <v>TLR4 / IL-1R / NF-κB</v>
      </c>
      <c r="F15" s="17" t="n">
        <v>1</v>
      </c>
      <c r="G15" s="17" t="n">
        <v>72</v>
      </c>
      <c r="H15" s="17" t="s">
        <v>95</v>
      </c>
      <c r="I15" s="2" t="s">
        <v>124</v>
      </c>
      <c r="J15" s="17" t="s">
        <v>124</v>
      </c>
      <c r="K15" s="17" t="s">
        <v>42</v>
      </c>
      <c r="L15" s="17" t="s">
        <v>37</v>
      </c>
      <c r="M15" s="2" t="s">
        <v>125</v>
      </c>
      <c r="N15" s="17" t="n">
        <v>29</v>
      </c>
      <c r="O15" s="17" t="str">
        <f aca="false">IF(N15="","Not reported",IF(N15&lt;=1,"Single dose",IF(N15&lt;=7,"2–7 days",IF(N15&lt;=28,"8–28 days",IF(N15&lt;=90,"1–3 months","&gt; 3 months")))))</f>
        <v>1–3 months</v>
      </c>
      <c r="P15" s="17" t="n">
        <v>28</v>
      </c>
      <c r="Q15" s="17" t="s">
        <v>93</v>
      </c>
      <c r="R15" s="17" t="s">
        <v>94</v>
      </c>
      <c r="S15" s="17" t="s">
        <v>94</v>
      </c>
      <c r="T15" s="17" t="str">
        <f aca="false">IF(AND(R15="yes",S15="yes"),"yes","no")</f>
        <v>yes</v>
      </c>
    </row>
    <row r="16" customFormat="false" ht="15" hidden="false" customHeight="false" outlineLevel="0" collapsed="false">
      <c r="A16" s="17" t="n">
        <v>15</v>
      </c>
      <c r="B16" s="17" t="s">
        <v>126</v>
      </c>
      <c r="C16" s="17" t="s">
        <v>126</v>
      </c>
      <c r="D16" s="17" t="s">
        <v>50</v>
      </c>
      <c r="E16" s="17" t="str">
        <f aca="false">INDEX('Drug classes'!$B$2:$B$20,MATCH(D16,'Drug classes'!$A$2:$A$20,0))</f>
        <v>IL-6 / JAK-STAT3</v>
      </c>
      <c r="F16" s="17" t="n">
        <v>1</v>
      </c>
      <c r="G16" s="17" t="n">
        <v>80</v>
      </c>
      <c r="H16" s="17" t="s">
        <v>95</v>
      </c>
      <c r="I16" s="2" t="s">
        <v>127</v>
      </c>
      <c r="J16" s="17" t="s">
        <v>127</v>
      </c>
      <c r="K16" s="17" t="s">
        <v>44</v>
      </c>
      <c r="L16" s="17" t="s">
        <v>37</v>
      </c>
      <c r="M16" s="2" t="s">
        <v>128</v>
      </c>
      <c r="N16" s="17" t="n">
        <v>14</v>
      </c>
      <c r="O16" s="17" t="str">
        <f aca="false">IF(N16="","Not reported",IF(N16&lt;=1,"Single dose",IF(N16&lt;=7,"2–7 days",IF(N16&lt;=28,"8–28 days",IF(N16&lt;=90,"1–3 months","&gt; 3 months")))))</f>
        <v>8–28 days</v>
      </c>
      <c r="P16" s="17"/>
      <c r="Q16" s="17" t="s">
        <v>129</v>
      </c>
      <c r="R16" s="17" t="s">
        <v>94</v>
      </c>
      <c r="S16" s="17" t="s">
        <v>94</v>
      </c>
      <c r="T16" s="17" t="str">
        <f aca="false">IF(AND(R16="yes",S16="yes"),"yes","no")</f>
        <v>yes</v>
      </c>
    </row>
    <row r="17" customFormat="false" ht="15" hidden="false" customHeight="false" outlineLevel="0" collapsed="false">
      <c r="A17" s="17" t="n">
        <v>16</v>
      </c>
      <c r="B17" s="17" t="s">
        <v>130</v>
      </c>
      <c r="C17" s="17" t="s">
        <v>130</v>
      </c>
      <c r="D17" s="17" t="s">
        <v>55</v>
      </c>
      <c r="E17" s="17" t="str">
        <f aca="false">INDEX('Drug classes'!$B$2:$B$20,MATCH(D17,'Drug classes'!$A$2:$A$20,0))</f>
        <v>TLR4 / IL-1R / NF-κB</v>
      </c>
      <c r="F17" s="17" t="n">
        <v>2</v>
      </c>
      <c r="G17" s="17" t="n">
        <v>83</v>
      </c>
      <c r="H17" s="17" t="s">
        <v>89</v>
      </c>
      <c r="I17" s="2" t="s">
        <v>131</v>
      </c>
      <c r="J17" s="17" t="s">
        <v>132</v>
      </c>
      <c r="K17" s="17" t="s">
        <v>42</v>
      </c>
      <c r="L17" s="17" t="s">
        <v>38</v>
      </c>
      <c r="M17" s="2" t="s">
        <v>133</v>
      </c>
      <c r="N17" s="17" t="n">
        <v>1</v>
      </c>
      <c r="O17" s="17" t="str">
        <f aca="false">IF(N17="","Not reported",IF(N17&lt;=1,"Single dose",IF(N17&lt;=7,"2–7 days",IF(N17&lt;=28,"8–28 days",IF(N17&lt;=90,"1–3 months","&gt; 3 months")))))</f>
        <v>Single dose</v>
      </c>
      <c r="P17" s="17" t="n">
        <v>7</v>
      </c>
      <c r="Q17" s="17" t="s">
        <v>93</v>
      </c>
      <c r="R17" s="17" t="s">
        <v>94</v>
      </c>
      <c r="S17" s="17" t="s">
        <v>94</v>
      </c>
      <c r="T17" s="17" t="str">
        <f aca="false">IF(AND(R17="yes",S17="yes"),"yes","no")</f>
        <v>yes</v>
      </c>
    </row>
    <row r="18" customFormat="false" ht="15" hidden="false" customHeight="false" outlineLevel="0" collapsed="false">
      <c r="A18" s="17" t="n">
        <v>17</v>
      </c>
      <c r="B18" s="17" t="s">
        <v>134</v>
      </c>
      <c r="C18" s="17" t="s">
        <v>134</v>
      </c>
      <c r="D18" s="17" t="s">
        <v>55</v>
      </c>
      <c r="E18" s="17" t="str">
        <f aca="false">INDEX('Drug classes'!$B$2:$B$20,MATCH(D18,'Drug classes'!$A$2:$A$20,0))</f>
        <v>TLR4 / IL-1R / NF-κB</v>
      </c>
      <c r="F18" s="17" t="n">
        <v>2</v>
      </c>
      <c r="G18" s="17" t="n">
        <v>83</v>
      </c>
      <c r="H18" s="17" t="s">
        <v>89</v>
      </c>
      <c r="I18" s="2" t="s">
        <v>131</v>
      </c>
      <c r="J18" s="17" t="s">
        <v>132</v>
      </c>
      <c r="K18" s="17" t="s">
        <v>42</v>
      </c>
      <c r="L18" s="17" t="s">
        <v>38</v>
      </c>
      <c r="M18" s="2" t="s">
        <v>133</v>
      </c>
      <c r="N18" s="17" t="n">
        <v>1</v>
      </c>
      <c r="O18" s="17" t="str">
        <f aca="false">IF(N18="","Not reported",IF(N18&lt;=1,"Single dose",IF(N18&lt;=7,"2–7 days",IF(N18&lt;=28,"8–28 days",IF(N18&lt;=90,"1–3 months","&gt; 3 months")))))</f>
        <v>Single dose</v>
      </c>
      <c r="P18" s="17" t="n">
        <v>7</v>
      </c>
      <c r="Q18" s="17" t="s">
        <v>93</v>
      </c>
      <c r="R18" s="17" t="s">
        <v>94</v>
      </c>
      <c r="S18" s="17" t="s">
        <v>94</v>
      </c>
      <c r="T18" s="17" t="str">
        <f aca="false">IF(AND(R18="yes",S18="yes"),"yes","no")</f>
        <v>yes</v>
      </c>
    </row>
    <row r="19" customFormat="false" ht="15" hidden="false" customHeight="false" outlineLevel="0" collapsed="false">
      <c r="A19" s="17" t="n">
        <v>18</v>
      </c>
      <c r="B19" s="17" t="s">
        <v>134</v>
      </c>
      <c r="C19" s="17" t="s">
        <v>134</v>
      </c>
      <c r="D19" s="17" t="s">
        <v>55</v>
      </c>
      <c r="E19" s="17" t="str">
        <f aca="false">INDEX('Drug classes'!$B$2:$B$20,MATCH(D19,'Drug classes'!$A$2:$A$20,0))</f>
        <v>TLR4 / IL-1R / NF-κB</v>
      </c>
      <c r="F19" s="17" t="n">
        <v>2</v>
      </c>
      <c r="G19" s="17" t="n">
        <v>84</v>
      </c>
      <c r="H19" s="17" t="s">
        <v>89</v>
      </c>
      <c r="I19" s="2" t="s">
        <v>127</v>
      </c>
      <c r="J19" s="17" t="s">
        <v>127</v>
      </c>
      <c r="K19" s="17" t="s">
        <v>44</v>
      </c>
      <c r="L19" s="17" t="s">
        <v>37</v>
      </c>
      <c r="M19" s="2" t="s">
        <v>135</v>
      </c>
      <c r="N19" s="17" t="n">
        <v>42</v>
      </c>
      <c r="O19" s="17" t="str">
        <f aca="false">IF(N19="","Not reported",IF(N19&lt;=1,"Single dose",IF(N19&lt;=7,"2–7 days",IF(N19&lt;=28,"8–28 days",IF(N19&lt;=90,"1–3 months","&gt; 3 months")))))</f>
        <v>1–3 months</v>
      </c>
      <c r="P19" s="17"/>
      <c r="Q19" s="17" t="s">
        <v>136</v>
      </c>
      <c r="R19" s="17" t="s">
        <v>94</v>
      </c>
      <c r="S19" s="17" t="s">
        <v>94</v>
      </c>
      <c r="T19" s="17" t="str">
        <f aca="false">IF(AND(R19="yes",S19="yes"),"yes","no")</f>
        <v>yes</v>
      </c>
    </row>
    <row r="20" customFormat="false" ht="26.85" hidden="false" customHeight="false" outlineLevel="0" collapsed="false">
      <c r="A20" s="17" t="n">
        <v>19</v>
      </c>
      <c r="B20" s="17" t="s">
        <v>137</v>
      </c>
      <c r="C20" s="17" t="s">
        <v>137</v>
      </c>
      <c r="D20" s="17" t="s">
        <v>55</v>
      </c>
      <c r="E20" s="17" t="str">
        <f aca="false">INDEX('Drug classes'!$B$2:$B$20,MATCH(D20,'Drug classes'!$A$2:$A$20,0))</f>
        <v>TLR4 / IL-1R / NF-κB</v>
      </c>
      <c r="F20" s="17" t="n">
        <v>2</v>
      </c>
      <c r="G20" s="17" t="n">
        <v>85</v>
      </c>
      <c r="H20" s="17" t="s">
        <v>95</v>
      </c>
      <c r="I20" s="2" t="s">
        <v>138</v>
      </c>
      <c r="J20" s="17" t="s">
        <v>139</v>
      </c>
      <c r="K20" s="17" t="s">
        <v>44</v>
      </c>
      <c r="L20" s="17" t="s">
        <v>38</v>
      </c>
      <c r="M20" s="2" t="s">
        <v>140</v>
      </c>
      <c r="N20" s="17" t="n">
        <v>30</v>
      </c>
      <c r="O20" s="17" t="str">
        <f aca="false">IF(N20="","Not reported",IF(N20&lt;=1,"Single dose",IF(N20&lt;=7,"2–7 days",IF(N20&lt;=28,"8–28 days",IF(N20&lt;=90,"1–3 months","&gt; 3 months")))))</f>
        <v>1–3 months</v>
      </c>
      <c r="P20" s="17"/>
      <c r="Q20" s="17" t="s">
        <v>129</v>
      </c>
      <c r="R20" s="17" t="s">
        <v>94</v>
      </c>
      <c r="S20" s="17" t="s">
        <v>94</v>
      </c>
      <c r="T20" s="17" t="str">
        <f aca="false">IF(AND(R20="yes",S20="yes"),"yes","no")</f>
        <v>yes</v>
      </c>
    </row>
    <row r="21" customFormat="false" ht="15" hidden="false" customHeight="false" outlineLevel="0" collapsed="false">
      <c r="A21" s="17" t="n">
        <v>20</v>
      </c>
      <c r="B21" s="17" t="s">
        <v>141</v>
      </c>
      <c r="C21" s="17" t="s">
        <v>141</v>
      </c>
      <c r="D21" s="17" t="s">
        <v>55</v>
      </c>
      <c r="E21" s="17" t="str">
        <f aca="false">INDEX('Drug classes'!$B$2:$B$20,MATCH(D21,'Drug classes'!$A$2:$A$20,0))</f>
        <v>TLR4 / IL-1R / NF-κB</v>
      </c>
      <c r="F21" s="17" t="n">
        <v>2</v>
      </c>
      <c r="G21" s="17" t="n">
        <v>86</v>
      </c>
      <c r="H21" s="17" t="s">
        <v>95</v>
      </c>
      <c r="I21" s="2" t="s">
        <v>142</v>
      </c>
      <c r="J21" s="17" t="s">
        <v>142</v>
      </c>
      <c r="K21" s="17" t="s">
        <v>43</v>
      </c>
      <c r="L21" s="17" t="s">
        <v>37</v>
      </c>
      <c r="M21" s="2" t="s">
        <v>143</v>
      </c>
      <c r="N21" s="17" t="n">
        <v>42</v>
      </c>
      <c r="O21" s="17" t="str">
        <f aca="false">IF(N21="","Not reported",IF(N21&lt;=1,"Single dose",IF(N21&lt;=7,"2–7 days",IF(N21&lt;=28,"8–28 days",IF(N21&lt;=90,"1–3 months","&gt; 3 months")))))</f>
        <v>1–3 months</v>
      </c>
      <c r="P21" s="17" t="n">
        <v>42</v>
      </c>
      <c r="Q21" s="17" t="s">
        <v>93</v>
      </c>
      <c r="R21" s="17" t="s">
        <v>94</v>
      </c>
      <c r="S21" s="17" t="s">
        <v>94</v>
      </c>
      <c r="T21" s="17" t="str">
        <f aca="false">IF(AND(R21="yes",S21="yes"),"yes","no")</f>
        <v>yes</v>
      </c>
    </row>
    <row r="22" customFormat="false" ht="26.85" hidden="false" customHeight="false" outlineLevel="0" collapsed="false">
      <c r="A22" s="17" t="n">
        <v>21</v>
      </c>
      <c r="B22" s="17" t="s">
        <v>144</v>
      </c>
      <c r="C22" s="17" t="s">
        <v>144</v>
      </c>
      <c r="D22" s="17" t="s">
        <v>55</v>
      </c>
      <c r="E22" s="17" t="str">
        <f aca="false">INDEX('Drug classes'!$B$2:$B$20,MATCH(D22,'Drug classes'!$A$2:$A$20,0))</f>
        <v>TLR4 / IL-1R / NF-κB</v>
      </c>
      <c r="F22" s="17" t="n">
        <v>2</v>
      </c>
      <c r="G22" s="17" t="n">
        <v>87</v>
      </c>
      <c r="H22" s="17" t="s">
        <v>95</v>
      </c>
      <c r="I22" s="2" t="s">
        <v>121</v>
      </c>
      <c r="J22" s="17" t="s">
        <v>102</v>
      </c>
      <c r="K22" s="17" t="s">
        <v>42</v>
      </c>
      <c r="L22" s="17" t="s">
        <v>37</v>
      </c>
      <c r="M22" s="2" t="s">
        <v>145</v>
      </c>
      <c r="N22" s="17" t="n">
        <v>11</v>
      </c>
      <c r="O22" s="17" t="str">
        <f aca="false">IF(N22="","Not reported",IF(N22&lt;=1,"Single dose",IF(N22&lt;=7,"2–7 days",IF(N22&lt;=28,"8–28 days",IF(N22&lt;=90,"1–3 months","&gt; 3 months")))))</f>
        <v>8–28 days</v>
      </c>
      <c r="P22" s="17" t="n">
        <v>7</v>
      </c>
      <c r="Q22" s="17" t="s">
        <v>93</v>
      </c>
      <c r="R22" s="17" t="s">
        <v>94</v>
      </c>
      <c r="S22" s="17" t="s">
        <v>94</v>
      </c>
      <c r="T22" s="17" t="str">
        <f aca="false">IF(AND(R22="yes",S22="yes"),"yes","no")</f>
        <v>yes</v>
      </c>
    </row>
    <row r="23" customFormat="false" ht="15" hidden="false" customHeight="false" outlineLevel="0" collapsed="false">
      <c r="A23" s="17" t="n">
        <v>22</v>
      </c>
      <c r="B23" s="17" t="s">
        <v>146</v>
      </c>
      <c r="C23" s="17" t="s">
        <v>146</v>
      </c>
      <c r="D23" s="17" t="s">
        <v>52</v>
      </c>
      <c r="E23" s="17" t="str">
        <f aca="false">INDEX('Drug classes'!$B$2:$B$20,MATCH(D23,'Drug classes'!$A$2:$A$20,0))</f>
        <v>TNF / RIPK / MAPK</v>
      </c>
      <c r="F23" s="17" t="n">
        <v>2</v>
      </c>
      <c r="G23" s="17" t="n">
        <v>88</v>
      </c>
      <c r="H23" s="17" t="s">
        <v>89</v>
      </c>
      <c r="I23" s="2" t="s">
        <v>142</v>
      </c>
      <c r="J23" s="17" t="s">
        <v>142</v>
      </c>
      <c r="K23" s="17" t="s">
        <v>43</v>
      </c>
      <c r="L23" s="17" t="s">
        <v>39</v>
      </c>
      <c r="M23" s="2" t="s">
        <v>147</v>
      </c>
      <c r="N23" s="17" t="n">
        <v>28</v>
      </c>
      <c r="O23" s="17" t="str">
        <f aca="false">IF(N23="","Not reported",IF(N23&lt;=1,"Single dose",IF(N23&lt;=7,"2–7 days",IF(N23&lt;=28,"8–28 days",IF(N23&lt;=90,"1–3 months","&gt; 3 months")))))</f>
        <v>8–28 days</v>
      </c>
      <c r="P23" s="17" t="n">
        <v>28</v>
      </c>
      <c r="Q23" s="17" t="s">
        <v>93</v>
      </c>
      <c r="R23" s="17" t="s">
        <v>94</v>
      </c>
      <c r="S23" s="17" t="s">
        <v>94</v>
      </c>
      <c r="T23" s="17" t="str">
        <f aca="false">IF(AND(R23="yes",S23="yes"),"yes","no")</f>
        <v>yes</v>
      </c>
    </row>
    <row r="24" customFormat="false" ht="15" hidden="false" customHeight="false" outlineLevel="0" collapsed="false">
      <c r="A24" s="17" t="n">
        <v>23</v>
      </c>
      <c r="B24" s="17" t="s">
        <v>146</v>
      </c>
      <c r="C24" s="17" t="s">
        <v>146</v>
      </c>
      <c r="D24" s="17" t="s">
        <v>52</v>
      </c>
      <c r="E24" s="17" t="str">
        <f aca="false">INDEX('Drug classes'!$B$2:$B$20,MATCH(D24,'Drug classes'!$A$2:$A$20,0))</f>
        <v>TNF / RIPK / MAPK</v>
      </c>
      <c r="F24" s="17" t="n">
        <v>2</v>
      </c>
      <c r="G24" s="17" t="n">
        <v>88</v>
      </c>
      <c r="H24" s="17" t="s">
        <v>95</v>
      </c>
      <c r="I24" s="2" t="s">
        <v>148</v>
      </c>
      <c r="J24" s="17" t="s">
        <v>148</v>
      </c>
      <c r="K24" s="17" t="s">
        <v>44</v>
      </c>
      <c r="L24" s="17" t="s">
        <v>39</v>
      </c>
      <c r="M24" s="2" t="s">
        <v>149</v>
      </c>
      <c r="N24" s="17" t="n">
        <v>168</v>
      </c>
      <c r="O24" s="17" t="str">
        <f aca="false">IF(N24="","Not reported",IF(N24&lt;=1,"Single dose",IF(N24&lt;=7,"2–7 days",IF(N24&lt;=28,"8–28 days",IF(N24&lt;=90,"1–3 months","&gt; 3 months")))))</f>
        <v>&gt; 3 months</v>
      </c>
      <c r="P24" s="17"/>
      <c r="Q24" s="17" t="s">
        <v>150</v>
      </c>
      <c r="R24" s="17" t="s">
        <v>94</v>
      </c>
      <c r="S24" s="17" t="s">
        <v>94</v>
      </c>
      <c r="T24" s="17" t="str">
        <f aca="false">IF(AND(R24="yes",S24="yes"),"yes","no")</f>
        <v>yes</v>
      </c>
    </row>
    <row r="25" customFormat="false" ht="15" hidden="false" customHeight="false" outlineLevel="0" collapsed="false">
      <c r="A25" s="17" t="n">
        <v>24</v>
      </c>
      <c r="B25" s="17" t="s">
        <v>146</v>
      </c>
      <c r="C25" s="17" t="s">
        <v>146</v>
      </c>
      <c r="D25" s="17" t="s">
        <v>52</v>
      </c>
      <c r="E25" s="17" t="str">
        <f aca="false">INDEX('Drug classes'!$B$2:$B$20,MATCH(D25,'Drug classes'!$A$2:$A$20,0))</f>
        <v>TNF / RIPK / MAPK</v>
      </c>
      <c r="F25" s="17" t="n">
        <v>2</v>
      </c>
      <c r="G25" s="17" t="n">
        <v>88</v>
      </c>
      <c r="H25" s="17" t="s">
        <v>151</v>
      </c>
      <c r="I25" s="2" t="s">
        <v>142</v>
      </c>
      <c r="J25" s="17" t="s">
        <v>142</v>
      </c>
      <c r="K25" s="17" t="s">
        <v>43</v>
      </c>
      <c r="L25" s="17" t="s">
        <v>39</v>
      </c>
      <c r="M25" s="2" t="s">
        <v>149</v>
      </c>
      <c r="N25" s="17" t="n">
        <v>203</v>
      </c>
      <c r="O25" s="17" t="str">
        <f aca="false">IF(N25="","Not reported",IF(N25&lt;=1,"Single dose",IF(N25&lt;=7,"2–7 days",IF(N25&lt;=28,"8–28 days",IF(N25&lt;=90,"1–3 months","&gt; 3 months")))))</f>
        <v>&gt; 3 months</v>
      </c>
      <c r="P25" s="17" t="n">
        <v>203</v>
      </c>
      <c r="Q25" s="17" t="s">
        <v>150</v>
      </c>
      <c r="R25" s="17" t="s">
        <v>100</v>
      </c>
      <c r="S25" s="17" t="s">
        <v>100</v>
      </c>
      <c r="T25" s="17" t="str">
        <f aca="false">IF(AND(R25="yes",S25="yes"),"yes","no")</f>
        <v>no</v>
      </c>
    </row>
    <row r="26" customFormat="false" ht="26.85" hidden="false" customHeight="false" outlineLevel="0" collapsed="false">
      <c r="A26" s="17" t="n">
        <v>25</v>
      </c>
      <c r="B26" s="17" t="s">
        <v>152</v>
      </c>
      <c r="C26" s="17" t="s">
        <v>152</v>
      </c>
      <c r="D26" s="17" t="s">
        <v>52</v>
      </c>
      <c r="E26" s="17" t="str">
        <f aca="false">INDEX('Drug classes'!$B$2:$B$20,MATCH(D26,'Drug classes'!$A$2:$A$20,0))</f>
        <v>TNF / RIPK / MAPK</v>
      </c>
      <c r="F26" s="17" t="n">
        <v>2</v>
      </c>
      <c r="G26" s="17" t="n">
        <v>90</v>
      </c>
      <c r="H26" s="17" t="s">
        <v>89</v>
      </c>
      <c r="I26" s="2" t="s">
        <v>112</v>
      </c>
      <c r="J26" s="17" t="s">
        <v>113</v>
      </c>
      <c r="K26" s="17" t="s">
        <v>43</v>
      </c>
      <c r="L26" s="17" t="s">
        <v>37</v>
      </c>
      <c r="M26" s="2" t="s">
        <v>153</v>
      </c>
      <c r="N26" s="17" t="n">
        <v>9</v>
      </c>
      <c r="O26" s="17" t="str">
        <f aca="false">IF(N26="","Not reported",IF(N26&lt;=1,"Single dose",IF(N26&lt;=7,"2–7 days",IF(N26&lt;=28,"8–28 days",IF(N26&lt;=90,"1–3 months","&gt; 3 months")))))</f>
        <v>8–28 days</v>
      </c>
      <c r="P26" s="17"/>
      <c r="Q26" s="17" t="s">
        <v>93</v>
      </c>
      <c r="R26" s="17" t="s">
        <v>94</v>
      </c>
      <c r="S26" s="17" t="s">
        <v>94</v>
      </c>
      <c r="T26" s="17" t="str">
        <f aca="false">IF(AND(R26="yes",S26="yes"),"yes","no")</f>
        <v>yes</v>
      </c>
    </row>
    <row r="27" customFormat="false" ht="15" hidden="false" customHeight="false" outlineLevel="0" collapsed="false">
      <c r="A27" s="17" t="n">
        <v>26</v>
      </c>
      <c r="B27" s="17" t="s">
        <v>154</v>
      </c>
      <c r="C27" s="17" t="s">
        <v>154</v>
      </c>
      <c r="D27" s="17" t="s">
        <v>52</v>
      </c>
      <c r="E27" s="17" t="str">
        <f aca="false">INDEX('Drug classes'!$B$2:$B$20,MATCH(D27,'Drug classes'!$A$2:$A$20,0))</f>
        <v>TNF / RIPK / MAPK</v>
      </c>
      <c r="F27" s="17" t="n">
        <v>2</v>
      </c>
      <c r="G27" s="17" t="n">
        <v>91</v>
      </c>
      <c r="H27" s="17" t="s">
        <v>89</v>
      </c>
      <c r="I27" s="2" t="s">
        <v>142</v>
      </c>
      <c r="J27" s="17" t="s">
        <v>142</v>
      </c>
      <c r="K27" s="17" t="s">
        <v>43</v>
      </c>
      <c r="L27" s="17" t="s">
        <v>39</v>
      </c>
      <c r="M27" s="2" t="s">
        <v>155</v>
      </c>
      <c r="N27" s="17" t="n">
        <v>41</v>
      </c>
      <c r="O27" s="17" t="str">
        <f aca="false">IF(N27="","Not reported",IF(N27&lt;=1,"Single dose",IF(N27&lt;=7,"2–7 days",IF(N27&lt;=28,"8–28 days",IF(N27&lt;=90,"1–3 months","&gt; 3 months")))))</f>
        <v>1–3 months</v>
      </c>
      <c r="P27" s="17" t="n">
        <v>42</v>
      </c>
      <c r="Q27" s="17" t="s">
        <v>156</v>
      </c>
      <c r="R27" s="17" t="s">
        <v>94</v>
      </c>
      <c r="S27" s="17" t="s">
        <v>94</v>
      </c>
      <c r="T27" s="17" t="str">
        <f aca="false">IF(AND(R27="yes",S27="yes"),"yes","no")</f>
        <v>yes</v>
      </c>
    </row>
    <row r="28" customFormat="false" ht="26.85" hidden="false" customHeight="false" outlineLevel="0" collapsed="false">
      <c r="A28" s="17" t="n">
        <v>27</v>
      </c>
      <c r="B28" s="17" t="s">
        <v>157</v>
      </c>
      <c r="C28" s="17" t="s">
        <v>157</v>
      </c>
      <c r="D28" s="17" t="s">
        <v>53</v>
      </c>
      <c r="E28" s="17" t="str">
        <f aca="false">INDEX('Drug classes'!$B$2:$B$20,MATCH(D28,'Drug classes'!$A$2:$A$20,0))</f>
        <v>TNF / RIPK / MAPK</v>
      </c>
      <c r="F28" s="17" t="n">
        <v>2</v>
      </c>
      <c r="G28" s="17" t="n">
        <v>103</v>
      </c>
      <c r="H28" s="17" t="s">
        <v>89</v>
      </c>
      <c r="I28" s="2" t="s">
        <v>158</v>
      </c>
      <c r="J28" s="17" t="s">
        <v>102</v>
      </c>
      <c r="K28" s="17" t="s">
        <v>42</v>
      </c>
      <c r="L28" s="17" t="s">
        <v>37</v>
      </c>
      <c r="M28" s="2" t="s">
        <v>159</v>
      </c>
      <c r="N28" s="17" t="n">
        <v>1</v>
      </c>
      <c r="O28" s="17" t="str">
        <f aca="false">IF(N28="","Not reported",IF(N28&lt;=1,"Single dose",IF(N28&lt;=7,"2–7 days",IF(N28&lt;=28,"8–28 days",IF(N28&lt;=90,"1–3 months","&gt; 3 months")))))</f>
        <v>Single dose</v>
      </c>
      <c r="P28" s="17" t="n">
        <v>0.25</v>
      </c>
      <c r="Q28" s="17" t="s">
        <v>160</v>
      </c>
      <c r="R28" s="17" t="s">
        <v>94</v>
      </c>
      <c r="S28" s="17" t="s">
        <v>94</v>
      </c>
      <c r="T28" s="17" t="str">
        <f aca="false">IF(AND(R28="yes",S28="yes"),"yes","no")</f>
        <v>yes</v>
      </c>
    </row>
    <row r="29" customFormat="false" ht="15" hidden="false" customHeight="false" outlineLevel="0" collapsed="false">
      <c r="A29" s="17" t="n">
        <v>28</v>
      </c>
      <c r="B29" s="17" t="s">
        <v>157</v>
      </c>
      <c r="C29" s="17" t="s">
        <v>157</v>
      </c>
      <c r="D29" s="17" t="s">
        <v>53</v>
      </c>
      <c r="E29" s="17" t="str">
        <f aca="false">INDEX('Drug classes'!$B$2:$B$20,MATCH(D29,'Drug classes'!$A$2:$A$20,0))</f>
        <v>TNF / RIPK / MAPK</v>
      </c>
      <c r="F29" s="17" t="n">
        <v>2</v>
      </c>
      <c r="G29" s="17" t="n">
        <v>104</v>
      </c>
      <c r="H29" s="17" t="s">
        <v>89</v>
      </c>
      <c r="I29" s="2" t="s">
        <v>161</v>
      </c>
      <c r="J29" s="17" t="s">
        <v>102</v>
      </c>
      <c r="K29" s="17" t="s">
        <v>42</v>
      </c>
      <c r="L29" s="17" t="s">
        <v>37</v>
      </c>
      <c r="M29" s="2" t="s">
        <v>162</v>
      </c>
      <c r="N29" s="17" t="n">
        <v>7</v>
      </c>
      <c r="O29" s="17" t="str">
        <f aca="false">IF(N29="","Not reported",IF(N29&lt;=1,"Single dose",IF(N29&lt;=7,"2–7 days",IF(N29&lt;=28,"8–28 days",IF(N29&lt;=90,"1–3 months","&gt; 3 months")))))</f>
        <v>2–7 days</v>
      </c>
      <c r="P29" s="17" t="n">
        <v>28</v>
      </c>
      <c r="Q29" s="17" t="s">
        <v>93</v>
      </c>
      <c r="R29" s="17" t="s">
        <v>94</v>
      </c>
      <c r="S29" s="17" t="s">
        <v>94</v>
      </c>
      <c r="T29" s="17" t="str">
        <f aca="false">IF(AND(R29="yes",S29="yes"),"yes","no")</f>
        <v>yes</v>
      </c>
    </row>
    <row r="30" customFormat="false" ht="15" hidden="false" customHeight="false" outlineLevel="0" collapsed="false">
      <c r="A30" s="17" t="n">
        <v>29</v>
      </c>
      <c r="B30" s="17" t="s">
        <v>163</v>
      </c>
      <c r="C30" s="17" t="s">
        <v>163</v>
      </c>
      <c r="D30" s="17" t="s">
        <v>57</v>
      </c>
      <c r="E30" s="17" t="str">
        <f aca="false">INDEX('Drug classes'!$B$2:$B$20,MATCH(D30,'Drug classes'!$A$2:$A$20,0))</f>
        <v>P2X7 / NLRP3</v>
      </c>
      <c r="F30" s="17" t="n">
        <v>2</v>
      </c>
      <c r="G30" s="17" t="n">
        <v>92</v>
      </c>
      <c r="H30" s="17" t="s">
        <v>95</v>
      </c>
      <c r="I30" s="2" t="s">
        <v>164</v>
      </c>
      <c r="J30" s="17" t="s">
        <v>164</v>
      </c>
      <c r="K30" s="17" t="s">
        <v>44</v>
      </c>
      <c r="L30" s="17" t="s">
        <v>38</v>
      </c>
      <c r="M30" s="2" t="s">
        <v>117</v>
      </c>
      <c r="N30" s="17" t="n">
        <v>1</v>
      </c>
      <c r="O30" s="17" t="str">
        <f aca="false">IF(N30="","Not reported",IF(N30&lt;=1,"Single dose",IF(N30&lt;=7,"2–7 days",IF(N30&lt;=28,"8–28 days",IF(N30&lt;=90,"1–3 months","&gt; 3 months")))))</f>
        <v>Single dose</v>
      </c>
      <c r="P30" s="17" t="n">
        <v>7</v>
      </c>
      <c r="Q30" s="17" t="s">
        <v>93</v>
      </c>
      <c r="R30" s="17" t="s">
        <v>94</v>
      </c>
      <c r="S30" s="17" t="s">
        <v>94</v>
      </c>
      <c r="T30" s="17" t="str">
        <f aca="false">IF(AND(R30="yes",S30="yes"),"yes","no")</f>
        <v>yes</v>
      </c>
    </row>
    <row r="31" customFormat="false" ht="26.85" hidden="false" customHeight="false" outlineLevel="0" collapsed="false">
      <c r="A31" s="17" t="n">
        <v>30</v>
      </c>
      <c r="B31" s="17" t="s">
        <v>163</v>
      </c>
      <c r="C31" s="17" t="s">
        <v>163</v>
      </c>
      <c r="D31" s="17" t="s">
        <v>57</v>
      </c>
      <c r="E31" s="17" t="str">
        <f aca="false">INDEX('Drug classes'!$B$2:$B$20,MATCH(D31,'Drug classes'!$A$2:$A$20,0))</f>
        <v>P2X7 / NLRP3</v>
      </c>
      <c r="F31" s="17" t="n">
        <v>2</v>
      </c>
      <c r="G31" s="17" t="n">
        <v>93</v>
      </c>
      <c r="H31" s="17" t="s">
        <v>95</v>
      </c>
      <c r="I31" s="2" t="s">
        <v>127</v>
      </c>
      <c r="J31" s="17" t="s">
        <v>127</v>
      </c>
      <c r="K31" s="17" t="s">
        <v>44</v>
      </c>
      <c r="L31" s="17" t="s">
        <v>38</v>
      </c>
      <c r="M31" s="2" t="s">
        <v>165</v>
      </c>
      <c r="N31" s="17" t="n">
        <v>1</v>
      </c>
      <c r="O31" s="17" t="str">
        <f aca="false">IF(N31="","Not reported",IF(N31&lt;=1,"Single dose",IF(N31&lt;=7,"2–7 days",IF(N31&lt;=28,"8–28 days",IF(N31&lt;=90,"1–3 months","&gt; 3 months")))))</f>
        <v>Single dose</v>
      </c>
      <c r="P31" s="17"/>
      <c r="Q31" s="17" t="s">
        <v>129</v>
      </c>
      <c r="R31" s="17" t="s">
        <v>94</v>
      </c>
      <c r="S31" s="17" t="s">
        <v>94</v>
      </c>
      <c r="T31" s="17" t="str">
        <f aca="false">IF(AND(R31="yes",S31="yes"),"yes","no")</f>
        <v>yes</v>
      </c>
    </row>
    <row r="32" customFormat="false" ht="15" hidden="false" customHeight="false" outlineLevel="0" collapsed="false">
      <c r="A32" s="17" t="n">
        <v>31</v>
      </c>
      <c r="B32" s="17" t="s">
        <v>166</v>
      </c>
      <c r="C32" s="17" t="s">
        <v>166</v>
      </c>
      <c r="D32" s="17" t="s">
        <v>57</v>
      </c>
      <c r="E32" s="17" t="str">
        <f aca="false">INDEX('Drug classes'!$B$2:$B$20,MATCH(D32,'Drug classes'!$A$2:$A$20,0))</f>
        <v>P2X7 / NLRP3</v>
      </c>
      <c r="F32" s="17" t="n">
        <v>2</v>
      </c>
      <c r="G32" s="17" t="n">
        <v>94</v>
      </c>
      <c r="H32" s="17" t="s">
        <v>95</v>
      </c>
      <c r="I32" s="2" t="s">
        <v>167</v>
      </c>
      <c r="J32" s="17" t="s">
        <v>167</v>
      </c>
      <c r="K32" s="17" t="s">
        <v>42</v>
      </c>
      <c r="L32" s="17" t="s">
        <v>38</v>
      </c>
      <c r="M32" s="2" t="s">
        <v>168</v>
      </c>
      <c r="N32" s="17" t="n">
        <v>1</v>
      </c>
      <c r="O32" s="17" t="str">
        <f aca="false">IF(N32="","Not reported",IF(N32&lt;=1,"Single dose",IF(N32&lt;=7,"2–7 days",IF(N32&lt;=28,"8–28 days",IF(N32&lt;=90,"1–3 months","&gt; 3 months")))))</f>
        <v>Single dose</v>
      </c>
      <c r="P32" s="17" t="n">
        <v>18</v>
      </c>
      <c r="Q32" s="17" t="s">
        <v>129</v>
      </c>
      <c r="R32" s="17" t="s">
        <v>94</v>
      </c>
      <c r="S32" s="17" t="s">
        <v>94</v>
      </c>
      <c r="T32" s="17" t="str">
        <f aca="false">IF(AND(R32="yes",S32="yes"),"yes","no")</f>
        <v>yes</v>
      </c>
    </row>
    <row r="33" customFormat="false" ht="15" hidden="false" customHeight="false" outlineLevel="0" collapsed="false">
      <c r="A33" s="17" t="n">
        <v>32</v>
      </c>
      <c r="B33" s="17" t="s">
        <v>166</v>
      </c>
      <c r="C33" s="17" t="s">
        <v>166</v>
      </c>
      <c r="D33" s="17" t="s">
        <v>57</v>
      </c>
      <c r="E33" s="17" t="str">
        <f aca="false">INDEX('Drug classes'!$B$2:$B$20,MATCH(D33,'Drug classes'!$A$2:$A$20,0))</f>
        <v>P2X7 / NLRP3</v>
      </c>
      <c r="F33" s="17" t="n">
        <v>2</v>
      </c>
      <c r="G33" s="17" t="n">
        <v>94</v>
      </c>
      <c r="H33" s="17" t="s">
        <v>95</v>
      </c>
      <c r="I33" s="2" t="s">
        <v>167</v>
      </c>
      <c r="J33" s="17" t="s">
        <v>167</v>
      </c>
      <c r="K33" s="17" t="s">
        <v>42</v>
      </c>
      <c r="L33" s="17" t="s">
        <v>37</v>
      </c>
      <c r="M33" s="2" t="s">
        <v>169</v>
      </c>
      <c r="N33" s="17" t="n">
        <v>5</v>
      </c>
      <c r="O33" s="17" t="str">
        <f aca="false">IF(N33="","Not reported",IF(N33&lt;=1,"Single dose",IF(N33&lt;=7,"2–7 days",IF(N33&lt;=28,"8–28 days",IF(N33&lt;=90,"1–3 months","&gt; 3 months")))))</f>
        <v>2–7 days</v>
      </c>
      <c r="P33" s="17" t="n">
        <v>18</v>
      </c>
      <c r="Q33" s="17" t="s">
        <v>129</v>
      </c>
      <c r="R33" s="17" t="s">
        <v>94</v>
      </c>
      <c r="S33" s="17" t="s">
        <v>94</v>
      </c>
      <c r="T33" s="17" t="str">
        <f aca="false">IF(AND(R33="yes",S33="yes"),"yes","no")</f>
        <v>yes</v>
      </c>
    </row>
    <row r="34" customFormat="false" ht="15" hidden="false" customHeight="false" outlineLevel="0" collapsed="false">
      <c r="A34" s="17" t="n">
        <v>33</v>
      </c>
      <c r="B34" s="17" t="s">
        <v>170</v>
      </c>
      <c r="C34" s="17" t="s">
        <v>170</v>
      </c>
      <c r="D34" s="17" t="s">
        <v>54</v>
      </c>
      <c r="E34" s="17" t="str">
        <f aca="false">INDEX('Drug classes'!$B$2:$B$20,MATCH(D34,'Drug classes'!$A$2:$A$20,0))</f>
        <v>TLR4 / IL-1R / NF-κB</v>
      </c>
      <c r="F34" s="17" t="n">
        <v>2</v>
      </c>
      <c r="G34" s="17" t="n">
        <v>95</v>
      </c>
      <c r="H34" s="17" t="s">
        <v>95</v>
      </c>
      <c r="I34" s="2" t="s">
        <v>96</v>
      </c>
      <c r="J34" s="17" t="s">
        <v>96</v>
      </c>
      <c r="K34" s="17" t="s">
        <v>42</v>
      </c>
      <c r="L34" s="17" t="s">
        <v>38</v>
      </c>
      <c r="M34" s="2" t="s">
        <v>117</v>
      </c>
      <c r="N34" s="17" t="n">
        <v>1</v>
      </c>
      <c r="O34" s="17" t="str">
        <f aca="false">IF(N34="","Not reported",IF(N34&lt;=1,"Single dose",IF(N34&lt;=7,"2–7 days",IF(N34&lt;=28,"8–28 days",IF(N34&lt;=90,"1–3 months","&gt; 3 months")))))</f>
        <v>Single dose</v>
      </c>
      <c r="P34" s="17" t="n">
        <v>10</v>
      </c>
      <c r="Q34" s="17" t="s">
        <v>93</v>
      </c>
      <c r="R34" s="17" t="s">
        <v>94</v>
      </c>
      <c r="S34" s="17" t="s">
        <v>94</v>
      </c>
      <c r="T34" s="17" t="str">
        <f aca="false">IF(AND(R34="yes",S34="yes"),"yes","no")</f>
        <v>yes</v>
      </c>
    </row>
    <row r="35" customFormat="false" ht="15" hidden="false" customHeight="false" outlineLevel="0" collapsed="false">
      <c r="A35" s="17" t="n">
        <v>34</v>
      </c>
      <c r="B35" s="17" t="s">
        <v>171</v>
      </c>
      <c r="C35" s="17" t="s">
        <v>171</v>
      </c>
      <c r="D35" s="17" t="s">
        <v>54</v>
      </c>
      <c r="E35" s="17" t="str">
        <f aca="false">INDEX('Drug classes'!$B$2:$B$20,MATCH(D35,'Drug classes'!$A$2:$A$20,0))</f>
        <v>TLR4 / IL-1R / NF-κB</v>
      </c>
      <c r="F35" s="17" t="n">
        <v>2</v>
      </c>
      <c r="G35" s="17" t="n">
        <v>95</v>
      </c>
      <c r="H35" s="17" t="s">
        <v>95</v>
      </c>
      <c r="I35" s="2" t="s">
        <v>96</v>
      </c>
      <c r="J35" s="17" t="s">
        <v>96</v>
      </c>
      <c r="K35" s="17" t="s">
        <v>42</v>
      </c>
      <c r="L35" s="17" t="s">
        <v>38</v>
      </c>
      <c r="M35" s="2" t="s">
        <v>117</v>
      </c>
      <c r="N35" s="17" t="n">
        <v>1</v>
      </c>
      <c r="O35" s="17" t="str">
        <f aca="false">IF(N35="","Not reported",IF(N35&lt;=1,"Single dose",IF(N35&lt;=7,"2–7 days",IF(N35&lt;=28,"8–28 days",IF(N35&lt;=90,"1–3 months","&gt; 3 months")))))</f>
        <v>Single dose</v>
      </c>
      <c r="P35" s="17"/>
      <c r="Q35" s="17" t="s">
        <v>129</v>
      </c>
      <c r="R35" s="17" t="s">
        <v>94</v>
      </c>
      <c r="S35" s="17" t="s">
        <v>94</v>
      </c>
      <c r="T35" s="17" t="str">
        <f aca="false">IF(AND(R35="yes",S35="yes"),"yes","no")</f>
        <v>yes</v>
      </c>
    </row>
    <row r="36" customFormat="false" ht="15" hidden="false" customHeight="false" outlineLevel="0" collapsed="false">
      <c r="A36" s="17" t="n">
        <v>35</v>
      </c>
      <c r="B36" s="17" t="s">
        <v>170</v>
      </c>
      <c r="C36" s="17" t="s">
        <v>170</v>
      </c>
      <c r="D36" s="17" t="s">
        <v>54</v>
      </c>
      <c r="E36" s="17" t="str">
        <f aca="false">INDEX('Drug classes'!$B$2:$B$20,MATCH(D36,'Drug classes'!$A$2:$A$20,0))</f>
        <v>TLR4 / IL-1R / NF-κB</v>
      </c>
      <c r="F36" s="17" t="n">
        <v>2</v>
      </c>
      <c r="G36" s="17" t="n">
        <v>96</v>
      </c>
      <c r="H36" s="17" t="s">
        <v>89</v>
      </c>
      <c r="I36" s="2" t="s">
        <v>172</v>
      </c>
      <c r="J36" s="17" t="s">
        <v>172</v>
      </c>
      <c r="K36" s="17" t="s">
        <v>43</v>
      </c>
      <c r="L36" s="17" t="s">
        <v>38</v>
      </c>
      <c r="M36" s="2" t="s">
        <v>173</v>
      </c>
      <c r="N36" s="17" t="n">
        <v>31</v>
      </c>
      <c r="O36" s="17" t="str">
        <f aca="false">IF(N36="","Not reported",IF(N36&lt;=1,"Single dose",IF(N36&lt;=7,"2–7 days",IF(N36&lt;=28,"8–28 days",IF(N36&lt;=90,"1–3 months","&gt; 3 months")))))</f>
        <v>1–3 months</v>
      </c>
      <c r="P36" s="17" t="n">
        <v>28</v>
      </c>
      <c r="Q36" s="17" t="s">
        <v>93</v>
      </c>
      <c r="R36" s="17" t="s">
        <v>94</v>
      </c>
      <c r="S36" s="17" t="s">
        <v>94</v>
      </c>
      <c r="T36" s="17" t="str">
        <f aca="false">IF(AND(R36="yes",S36="yes"),"yes","no")</f>
        <v>yes</v>
      </c>
    </row>
    <row r="37" customFormat="false" ht="15" hidden="false" customHeight="false" outlineLevel="0" collapsed="false">
      <c r="A37" s="17" t="n">
        <v>36</v>
      </c>
      <c r="B37" s="17" t="s">
        <v>174</v>
      </c>
      <c r="C37" s="17" t="s">
        <v>174</v>
      </c>
      <c r="D37" s="17" t="s">
        <v>56</v>
      </c>
      <c r="E37" s="17" t="str">
        <f aca="false">INDEX('Drug classes'!$B$2:$B$20,MATCH(D37,'Drug classes'!$A$2:$A$20,0))</f>
        <v>P2X7 / NLRP3</v>
      </c>
      <c r="F37" s="17" t="n">
        <v>2</v>
      </c>
      <c r="G37" s="17" t="n">
        <v>97</v>
      </c>
      <c r="H37" s="17" t="s">
        <v>95</v>
      </c>
      <c r="I37" s="2" t="s">
        <v>148</v>
      </c>
      <c r="J37" s="17" t="s">
        <v>148</v>
      </c>
      <c r="K37" s="17" t="s">
        <v>44</v>
      </c>
      <c r="L37" s="17" t="s">
        <v>39</v>
      </c>
      <c r="M37" s="2" t="s">
        <v>175</v>
      </c>
      <c r="N37" s="17" t="n">
        <v>154</v>
      </c>
      <c r="O37" s="17" t="str">
        <f aca="false">IF(N37="","Not reported",IF(N37&lt;=1,"Single dose",IF(N37&lt;=7,"2–7 days",IF(N37&lt;=28,"8–28 days",IF(N37&lt;=90,"1–3 months","&gt; 3 months")))))</f>
        <v>&gt; 3 months</v>
      </c>
      <c r="P37" s="17"/>
      <c r="Q37" s="17" t="s">
        <v>93</v>
      </c>
      <c r="R37" s="17" t="s">
        <v>94</v>
      </c>
      <c r="S37" s="17" t="s">
        <v>94</v>
      </c>
      <c r="T37" s="17" t="str">
        <f aca="false">IF(AND(R37="yes",S37="yes"),"yes","no")</f>
        <v>yes</v>
      </c>
    </row>
    <row r="38" customFormat="false" ht="15" hidden="false" customHeight="false" outlineLevel="0" collapsed="false">
      <c r="A38" s="17" t="n">
        <v>37</v>
      </c>
      <c r="B38" s="17" t="s">
        <v>176</v>
      </c>
      <c r="C38" s="17" t="s">
        <v>176</v>
      </c>
      <c r="D38" s="17" t="s">
        <v>56</v>
      </c>
      <c r="E38" s="17" t="str">
        <f aca="false">INDEX('Drug classes'!$B$2:$B$20,MATCH(D38,'Drug classes'!$A$2:$A$20,0))</f>
        <v>P2X7 / NLRP3</v>
      </c>
      <c r="F38" s="17" t="n">
        <v>2</v>
      </c>
      <c r="G38" s="17" t="n">
        <v>98</v>
      </c>
      <c r="H38" s="17" t="s">
        <v>95</v>
      </c>
      <c r="I38" s="2" t="s">
        <v>177</v>
      </c>
      <c r="J38" s="17" t="s">
        <v>177</v>
      </c>
      <c r="K38" s="17" t="s">
        <v>43</v>
      </c>
      <c r="L38" s="17" t="s">
        <v>38</v>
      </c>
      <c r="M38" s="2" t="s">
        <v>178</v>
      </c>
      <c r="N38" s="17"/>
      <c r="O38" s="17" t="str">
        <f aca="false">IF(N38="","Not reported",IF(N38&lt;=1,"Single dose",IF(N38&lt;=7,"2–7 days",IF(N38&lt;=28,"8–28 days",IF(N38&lt;=90,"1–3 months","&gt; 3 months")))))</f>
        <v>Not reported</v>
      </c>
      <c r="P38" s="17"/>
      <c r="Q38" s="17" t="s">
        <v>136</v>
      </c>
      <c r="R38" s="17" t="s">
        <v>94</v>
      </c>
      <c r="S38" s="17" t="s">
        <v>94</v>
      </c>
      <c r="T38" s="17" t="str">
        <f aca="false">IF(AND(R38="yes",S38="yes"),"yes","no")</f>
        <v>yes</v>
      </c>
    </row>
    <row r="39" customFormat="false" ht="15" hidden="false" customHeight="false" outlineLevel="0" collapsed="false">
      <c r="A39" s="17" t="n">
        <v>38</v>
      </c>
      <c r="B39" s="17" t="s">
        <v>179</v>
      </c>
      <c r="C39" s="17" t="s">
        <v>179</v>
      </c>
      <c r="D39" s="17" t="s">
        <v>51</v>
      </c>
      <c r="E39" s="17" t="str">
        <f aca="false">INDEX('Drug classes'!$B$2:$B$20,MATCH(D39,'Drug classes'!$A$2:$A$20,0))</f>
        <v>TNF / RIPK / MAPK</v>
      </c>
      <c r="F39" s="17" t="n">
        <v>2</v>
      </c>
      <c r="G39" s="17" t="n">
        <v>100</v>
      </c>
      <c r="H39" s="17" t="s">
        <v>95</v>
      </c>
      <c r="I39" s="2" t="s">
        <v>131</v>
      </c>
      <c r="J39" s="17" t="s">
        <v>132</v>
      </c>
      <c r="K39" s="17" t="s">
        <v>42</v>
      </c>
      <c r="L39" s="17" t="s">
        <v>38</v>
      </c>
      <c r="M39" s="2" t="s">
        <v>133</v>
      </c>
      <c r="N39" s="17" t="n">
        <v>1</v>
      </c>
      <c r="O39" s="17" t="str">
        <f aca="false">IF(N39="","Not reported",IF(N39&lt;=1,"Single dose",IF(N39&lt;=7,"2–7 days",IF(N39&lt;=28,"8–28 days",IF(N39&lt;=90,"1–3 months","&gt; 3 months")))))</f>
        <v>Single dose</v>
      </c>
      <c r="P39" s="17" t="n">
        <v>3</v>
      </c>
      <c r="Q39" s="17" t="s">
        <v>136</v>
      </c>
      <c r="R39" s="17" t="s">
        <v>94</v>
      </c>
      <c r="S39" s="17" t="s">
        <v>94</v>
      </c>
      <c r="T39" s="17" t="str">
        <f aca="false">IF(AND(R39="yes",S39="yes"),"yes","no")</f>
        <v>yes</v>
      </c>
    </row>
    <row r="40" customFormat="false" ht="15" hidden="false" customHeight="false" outlineLevel="0" collapsed="false">
      <c r="A40" s="17" t="n">
        <v>39</v>
      </c>
      <c r="B40" s="17" t="s">
        <v>180</v>
      </c>
      <c r="C40" s="17" t="s">
        <v>180</v>
      </c>
      <c r="D40" s="17" t="s">
        <v>51</v>
      </c>
      <c r="E40" s="17" t="str">
        <f aca="false">INDEX('Drug classes'!$B$2:$B$20,MATCH(D40,'Drug classes'!$A$2:$A$20,0))</f>
        <v>TNF / RIPK / MAPK</v>
      </c>
      <c r="F40" s="17" t="n">
        <v>2</v>
      </c>
      <c r="G40" s="17" t="n">
        <v>101</v>
      </c>
      <c r="H40" s="17" t="s">
        <v>95</v>
      </c>
      <c r="I40" s="2" t="s">
        <v>131</v>
      </c>
      <c r="J40" s="17" t="s">
        <v>132</v>
      </c>
      <c r="K40" s="17" t="s">
        <v>42</v>
      </c>
      <c r="L40" s="17" t="s">
        <v>38</v>
      </c>
      <c r="M40" s="2" t="s">
        <v>133</v>
      </c>
      <c r="N40" s="17" t="n">
        <v>1</v>
      </c>
      <c r="O40" s="17" t="str">
        <f aca="false">IF(N40="","Not reported",IF(N40&lt;=1,"Single dose",IF(N40&lt;=7,"2–7 days",IF(N40&lt;=28,"8–28 days",IF(N40&lt;=90,"1–3 months","&gt; 3 months")))))</f>
        <v>Single dose</v>
      </c>
      <c r="P40" s="17" t="n">
        <v>5</v>
      </c>
      <c r="Q40" s="17" t="s">
        <v>93</v>
      </c>
      <c r="R40" s="17" t="s">
        <v>94</v>
      </c>
      <c r="S40" s="17" t="s">
        <v>94</v>
      </c>
      <c r="T40" s="17" t="str">
        <f aca="false">IF(AND(R40="yes",S40="yes"),"yes","no")</f>
        <v>yes</v>
      </c>
    </row>
    <row r="41" customFormat="false" ht="15" hidden="false" customHeight="false" outlineLevel="0" collapsed="false">
      <c r="A41" s="17" t="n">
        <v>40</v>
      </c>
      <c r="B41" s="17" t="s">
        <v>181</v>
      </c>
      <c r="C41" s="17" t="s">
        <v>181</v>
      </c>
      <c r="D41" s="17" t="s">
        <v>51</v>
      </c>
      <c r="E41" s="17" t="str">
        <f aca="false">INDEX('Drug classes'!$B$2:$B$20,MATCH(D41,'Drug classes'!$A$2:$A$20,0))</f>
        <v>TNF / RIPK / MAPK</v>
      </c>
      <c r="F41" s="17" t="n">
        <v>2</v>
      </c>
      <c r="G41" s="17" t="n">
        <v>101</v>
      </c>
      <c r="H41" s="17" t="s">
        <v>95</v>
      </c>
      <c r="I41" s="2" t="s">
        <v>131</v>
      </c>
      <c r="J41" s="17" t="s">
        <v>132</v>
      </c>
      <c r="K41" s="17" t="s">
        <v>42</v>
      </c>
      <c r="L41" s="17" t="s">
        <v>38</v>
      </c>
      <c r="M41" s="2" t="s">
        <v>133</v>
      </c>
      <c r="N41" s="17" t="n">
        <v>1</v>
      </c>
      <c r="O41" s="17" t="str">
        <f aca="false">IF(N41="","Not reported",IF(N41&lt;=1,"Single dose",IF(N41&lt;=7,"2–7 days",IF(N41&lt;=28,"8–28 days",IF(N41&lt;=90,"1–3 months","&gt; 3 months")))))</f>
        <v>Single dose</v>
      </c>
      <c r="P41" s="17" t="n">
        <v>5</v>
      </c>
      <c r="Q41" s="17" t="s">
        <v>93</v>
      </c>
      <c r="R41" s="17" t="s">
        <v>94</v>
      </c>
      <c r="S41" s="17" t="s">
        <v>94</v>
      </c>
      <c r="T41" s="17" t="str">
        <f aca="false">IF(AND(R41="yes",S41="yes"),"yes","no")</f>
        <v>yes</v>
      </c>
    </row>
    <row r="42" customFormat="false" ht="26.85" hidden="false" customHeight="false" outlineLevel="0" collapsed="false">
      <c r="A42" s="17" t="n">
        <v>41</v>
      </c>
      <c r="B42" s="17" t="s">
        <v>182</v>
      </c>
      <c r="C42" s="17" t="s">
        <v>182</v>
      </c>
      <c r="D42" s="17" t="s">
        <v>51</v>
      </c>
      <c r="E42" s="17" t="str">
        <f aca="false">INDEX('Drug classes'!$B$2:$B$20,MATCH(D42,'Drug classes'!$A$2:$A$20,0))</f>
        <v>TNF / RIPK / MAPK</v>
      </c>
      <c r="F42" s="17" t="n">
        <v>2</v>
      </c>
      <c r="G42" s="17" t="n">
        <v>102</v>
      </c>
      <c r="H42" s="17" t="s">
        <v>89</v>
      </c>
      <c r="I42" s="2" t="s">
        <v>183</v>
      </c>
      <c r="J42" s="17" t="s">
        <v>102</v>
      </c>
      <c r="K42" s="17" t="s">
        <v>42</v>
      </c>
      <c r="L42" s="17" t="s">
        <v>37</v>
      </c>
      <c r="M42" s="2" t="s">
        <v>184</v>
      </c>
      <c r="N42" s="17" t="n">
        <v>1</v>
      </c>
      <c r="O42" s="17" t="str">
        <f aca="false">IF(N42="","Not reported",IF(N42&lt;=1,"Single dose",IF(N42&lt;=7,"2–7 days",IF(N42&lt;=28,"8–28 days",IF(N42&lt;=90,"1–3 months","&gt; 3 months")))))</f>
        <v>Single dose</v>
      </c>
      <c r="P42" s="17"/>
      <c r="Q42" s="17" t="s">
        <v>93</v>
      </c>
      <c r="R42" s="17" t="s">
        <v>94</v>
      </c>
      <c r="S42" s="17" t="s">
        <v>94</v>
      </c>
      <c r="T42" s="17" t="str">
        <f aca="false">IF(AND(R42="yes",S42="yes"),"yes","no")</f>
        <v>yes</v>
      </c>
    </row>
    <row r="43" customFormat="false" ht="15" hidden="false" customHeight="false" outlineLevel="0" collapsed="false">
      <c r="A43" s="17" t="n">
        <v>42</v>
      </c>
      <c r="B43" s="17" t="s">
        <v>185</v>
      </c>
      <c r="C43" s="17" t="s">
        <v>185</v>
      </c>
      <c r="D43" s="17" t="s">
        <v>59</v>
      </c>
      <c r="E43" s="17" t="str">
        <f aca="false">INDEX('Drug classes'!$B$2:$B$20,MATCH(D43,'Drug classes'!$A$2:$A$20,0))</f>
        <v>Broad anti-inflammatory</v>
      </c>
      <c r="F43" s="17" t="n">
        <v>3</v>
      </c>
      <c r="G43" s="17" t="n">
        <v>109</v>
      </c>
      <c r="H43" s="17" t="s">
        <v>89</v>
      </c>
      <c r="I43" s="2" t="s">
        <v>186</v>
      </c>
      <c r="J43" s="17" t="s">
        <v>91</v>
      </c>
      <c r="K43" s="17" t="s">
        <v>43</v>
      </c>
      <c r="L43" s="17" t="s">
        <v>38</v>
      </c>
      <c r="M43" s="2" t="s">
        <v>187</v>
      </c>
      <c r="N43" s="17" t="n">
        <v>1</v>
      </c>
      <c r="O43" s="17" t="str">
        <f aca="false">IF(N43="","Not reported",IF(N43&lt;=1,"Single dose",IF(N43&lt;=7,"2–7 days",IF(N43&lt;=28,"8–28 days",IF(N43&lt;=90,"1–3 months","&gt; 3 months")))))</f>
        <v>Single dose</v>
      </c>
      <c r="P43" s="17" t="n">
        <v>70</v>
      </c>
      <c r="Q43" s="17" t="s">
        <v>93</v>
      </c>
      <c r="R43" s="17" t="s">
        <v>94</v>
      </c>
      <c r="S43" s="17" t="s">
        <v>94</v>
      </c>
      <c r="T43" s="17" t="str">
        <f aca="false">IF(AND(R43="yes",S43="yes"),"yes","no")</f>
        <v>yes</v>
      </c>
    </row>
    <row r="44" customFormat="false" ht="26.85" hidden="false" customHeight="false" outlineLevel="0" collapsed="false">
      <c r="A44" s="17" t="n">
        <v>43</v>
      </c>
      <c r="B44" s="17" t="s">
        <v>188</v>
      </c>
      <c r="C44" s="17" t="s">
        <v>188</v>
      </c>
      <c r="D44" s="17" t="s">
        <v>59</v>
      </c>
      <c r="E44" s="17" t="str">
        <f aca="false">INDEX('Drug classes'!$B$2:$B$20,MATCH(D44,'Drug classes'!$A$2:$A$20,0))</f>
        <v>Broad anti-inflammatory</v>
      </c>
      <c r="F44" s="17" t="n">
        <v>3</v>
      </c>
      <c r="G44" s="17" t="n">
        <v>110</v>
      </c>
      <c r="H44" s="17" t="s">
        <v>89</v>
      </c>
      <c r="I44" s="2" t="s">
        <v>189</v>
      </c>
      <c r="J44" s="17" t="s">
        <v>190</v>
      </c>
      <c r="K44" s="17" t="s">
        <v>42</v>
      </c>
      <c r="L44" s="17" t="s">
        <v>37</v>
      </c>
      <c r="M44" s="2" t="s">
        <v>191</v>
      </c>
      <c r="N44" s="17" t="n">
        <v>17</v>
      </c>
      <c r="O44" s="17" t="str">
        <f aca="false">IF(N44="","Not reported",IF(N44&lt;=1,"Single dose",IF(N44&lt;=7,"2–7 days",IF(N44&lt;=28,"8–28 days",IF(N44&lt;=90,"1–3 months","&gt; 3 months")))))</f>
        <v>8–28 days</v>
      </c>
      <c r="P44" s="17" t="n">
        <v>7</v>
      </c>
      <c r="Q44" s="17" t="s">
        <v>136</v>
      </c>
      <c r="R44" s="17" t="s">
        <v>94</v>
      </c>
      <c r="S44" s="17" t="s">
        <v>94</v>
      </c>
      <c r="T44" s="17" t="str">
        <f aca="false">IF(AND(R44="yes",S44="yes"),"yes","no")</f>
        <v>yes</v>
      </c>
    </row>
    <row r="45" customFormat="false" ht="15" hidden="false" customHeight="false" outlineLevel="0" collapsed="false">
      <c r="A45" s="17" t="n">
        <v>44</v>
      </c>
      <c r="B45" s="17" t="s">
        <v>188</v>
      </c>
      <c r="C45" s="17" t="s">
        <v>188</v>
      </c>
      <c r="D45" s="17" t="s">
        <v>59</v>
      </c>
      <c r="E45" s="17" t="str">
        <f aca="false">INDEX('Drug classes'!$B$2:$B$20,MATCH(D45,'Drug classes'!$A$2:$A$20,0))</f>
        <v>Broad anti-inflammatory</v>
      </c>
      <c r="F45" s="17" t="n">
        <v>3</v>
      </c>
      <c r="G45" s="17" t="n">
        <v>111</v>
      </c>
      <c r="H45" s="17" t="s">
        <v>95</v>
      </c>
      <c r="I45" s="2" t="s">
        <v>131</v>
      </c>
      <c r="J45" s="17" t="s">
        <v>132</v>
      </c>
      <c r="K45" s="17" t="s">
        <v>42</v>
      </c>
      <c r="L45" s="17" t="s">
        <v>37</v>
      </c>
      <c r="M45" s="2" t="s">
        <v>192</v>
      </c>
      <c r="N45" s="17" t="n">
        <v>1</v>
      </c>
      <c r="O45" s="17" t="str">
        <f aca="false">IF(N45="","Not reported",IF(N45&lt;=1,"Single dose",IF(N45&lt;=7,"2–7 days",IF(N45&lt;=28,"8–28 days",IF(N45&lt;=90,"1–3 months","&gt; 3 months")))))</f>
        <v>Single dose</v>
      </c>
      <c r="P45" s="17"/>
      <c r="Q45" s="17" t="s">
        <v>93</v>
      </c>
      <c r="R45" s="17" t="s">
        <v>94</v>
      </c>
      <c r="S45" s="17" t="s">
        <v>94</v>
      </c>
      <c r="T45" s="17" t="str">
        <f aca="false">IF(AND(R45="yes",S45="yes"),"yes","no")</f>
        <v>yes</v>
      </c>
    </row>
    <row r="46" customFormat="false" ht="15" hidden="false" customHeight="false" outlineLevel="0" collapsed="false">
      <c r="A46" s="17" t="n">
        <v>45</v>
      </c>
      <c r="B46" s="17" t="s">
        <v>188</v>
      </c>
      <c r="C46" s="17" t="s">
        <v>188</v>
      </c>
      <c r="D46" s="17" t="s">
        <v>59</v>
      </c>
      <c r="E46" s="17" t="str">
        <f aca="false">INDEX('Drug classes'!$B$2:$B$20,MATCH(D46,'Drug classes'!$A$2:$A$20,0))</f>
        <v>Broad anti-inflammatory</v>
      </c>
      <c r="F46" s="17" t="n">
        <v>3</v>
      </c>
      <c r="G46" s="17" t="n">
        <v>112</v>
      </c>
      <c r="H46" s="17" t="s">
        <v>95</v>
      </c>
      <c r="I46" s="2" t="s">
        <v>148</v>
      </c>
      <c r="J46" s="17" t="s">
        <v>148</v>
      </c>
      <c r="K46" s="17" t="s">
        <v>44</v>
      </c>
      <c r="L46" s="17" t="s">
        <v>37</v>
      </c>
      <c r="M46" s="2" t="s">
        <v>193</v>
      </c>
      <c r="N46" s="17" t="n">
        <v>175</v>
      </c>
      <c r="O46" s="17" t="str">
        <f aca="false">IF(N46="","Not reported",IF(N46&lt;=1,"Single dose",IF(N46&lt;=7,"2–7 days",IF(N46&lt;=28,"8–28 days",IF(N46&lt;=90,"1–3 months","&gt; 3 months")))))</f>
        <v>&gt; 3 months</v>
      </c>
      <c r="P46" s="17"/>
      <c r="Q46" s="17" t="s">
        <v>93</v>
      </c>
      <c r="R46" s="17" t="s">
        <v>94</v>
      </c>
      <c r="S46" s="17" t="s">
        <v>94</v>
      </c>
      <c r="T46" s="17" t="str">
        <f aca="false">IF(AND(R46="yes",S46="yes"),"yes","no")</f>
        <v>yes</v>
      </c>
    </row>
    <row r="47" customFormat="false" ht="15" hidden="false" customHeight="false" outlineLevel="0" collapsed="false">
      <c r="A47" s="17" t="n">
        <v>46</v>
      </c>
      <c r="B47" s="17" t="s">
        <v>188</v>
      </c>
      <c r="C47" s="17" t="s">
        <v>188</v>
      </c>
      <c r="D47" s="17" t="s">
        <v>59</v>
      </c>
      <c r="E47" s="17" t="str">
        <f aca="false">INDEX('Drug classes'!$B$2:$B$20,MATCH(D47,'Drug classes'!$A$2:$A$20,0))</f>
        <v>Broad anti-inflammatory</v>
      </c>
      <c r="F47" s="17" t="n">
        <v>3</v>
      </c>
      <c r="G47" s="17" t="n">
        <v>114</v>
      </c>
      <c r="H47" s="17" t="s">
        <v>89</v>
      </c>
      <c r="I47" s="2" t="s">
        <v>194</v>
      </c>
      <c r="J47" s="17" t="s">
        <v>190</v>
      </c>
      <c r="K47" s="17" t="s">
        <v>42</v>
      </c>
      <c r="L47" s="17" t="s">
        <v>37</v>
      </c>
      <c r="M47" s="2" t="s">
        <v>195</v>
      </c>
      <c r="N47" s="17" t="n">
        <v>7</v>
      </c>
      <c r="O47" s="17" t="str">
        <f aca="false">IF(N47="","Not reported",IF(N47&lt;=1,"Single dose",IF(N47&lt;=7,"2–7 days",IF(N47&lt;=28,"8–28 days",IF(N47&lt;=90,"1–3 months","&gt; 3 months")))))</f>
        <v>2–7 days</v>
      </c>
      <c r="P47" s="17" t="n">
        <v>3</v>
      </c>
      <c r="Q47" s="17" t="s">
        <v>129</v>
      </c>
      <c r="R47" s="17" t="s">
        <v>94</v>
      </c>
      <c r="S47" s="17" t="s">
        <v>94</v>
      </c>
      <c r="T47" s="17" t="str">
        <f aca="false">IF(AND(R47="yes",S47="yes"),"yes","no")</f>
        <v>yes</v>
      </c>
    </row>
    <row r="48" customFormat="false" ht="15" hidden="false" customHeight="false" outlineLevel="0" collapsed="false">
      <c r="A48" s="17" t="n">
        <v>47</v>
      </c>
      <c r="B48" s="17" t="s">
        <v>188</v>
      </c>
      <c r="C48" s="17" t="s">
        <v>188</v>
      </c>
      <c r="D48" s="17" t="s">
        <v>59</v>
      </c>
      <c r="E48" s="17" t="str">
        <f aca="false">INDEX('Drug classes'!$B$2:$B$20,MATCH(D48,'Drug classes'!$A$2:$A$20,0))</f>
        <v>Broad anti-inflammatory</v>
      </c>
      <c r="F48" s="17" t="n">
        <v>3</v>
      </c>
      <c r="G48" s="17" t="n">
        <v>115</v>
      </c>
      <c r="H48" s="17" t="s">
        <v>89</v>
      </c>
      <c r="I48" s="2" t="s">
        <v>196</v>
      </c>
      <c r="J48" s="17" t="s">
        <v>196</v>
      </c>
      <c r="K48" s="17" t="s">
        <v>42</v>
      </c>
      <c r="L48" s="17" t="s">
        <v>37</v>
      </c>
      <c r="M48" s="2" t="s">
        <v>197</v>
      </c>
      <c r="N48" s="17" t="n">
        <v>16</v>
      </c>
      <c r="O48" s="17" t="str">
        <f aca="false">IF(N48="","Not reported",IF(N48&lt;=1,"Single dose",IF(N48&lt;=7,"2–7 days",IF(N48&lt;=28,"8–28 days",IF(N48&lt;=90,"1–3 months","&gt; 3 months")))))</f>
        <v>8–28 days</v>
      </c>
      <c r="P48" s="17" t="n">
        <v>14</v>
      </c>
      <c r="Q48" s="17" t="s">
        <v>136</v>
      </c>
      <c r="R48" s="17" t="s">
        <v>94</v>
      </c>
      <c r="S48" s="17" t="s">
        <v>94</v>
      </c>
      <c r="T48" s="17" t="str">
        <f aca="false">IF(AND(R48="yes",S48="yes"),"yes","no")</f>
        <v>yes</v>
      </c>
    </row>
    <row r="49" customFormat="false" ht="15" hidden="false" customHeight="false" outlineLevel="0" collapsed="false">
      <c r="A49" s="17" t="n">
        <v>48</v>
      </c>
      <c r="B49" s="17" t="s">
        <v>188</v>
      </c>
      <c r="C49" s="17" t="s">
        <v>188</v>
      </c>
      <c r="D49" s="17" t="s">
        <v>59</v>
      </c>
      <c r="E49" s="17" t="str">
        <f aca="false">INDEX('Drug classes'!$B$2:$B$20,MATCH(D49,'Drug classes'!$A$2:$A$20,0))</f>
        <v>Broad anti-inflammatory</v>
      </c>
      <c r="F49" s="17" t="n">
        <v>3</v>
      </c>
      <c r="G49" s="17" t="n">
        <v>116</v>
      </c>
      <c r="H49" s="17" t="s">
        <v>95</v>
      </c>
      <c r="I49" s="2" t="s">
        <v>198</v>
      </c>
      <c r="J49" s="17" t="s">
        <v>198</v>
      </c>
      <c r="K49" s="17" t="s">
        <v>43</v>
      </c>
      <c r="L49" s="17" t="s">
        <v>37</v>
      </c>
      <c r="M49" s="2" t="s">
        <v>199</v>
      </c>
      <c r="N49" s="17" t="n">
        <v>16</v>
      </c>
      <c r="O49" s="17" t="str">
        <f aca="false">IF(N49="","Not reported",IF(N49&lt;=1,"Single dose",IF(N49&lt;=7,"2–7 days",IF(N49&lt;=28,"8–28 days",IF(N49&lt;=90,"1–3 months","&gt; 3 months")))))</f>
        <v>8–28 days</v>
      </c>
      <c r="P49" s="17" t="n">
        <v>15</v>
      </c>
      <c r="Q49" s="17" t="s">
        <v>150</v>
      </c>
      <c r="R49" s="17" t="s">
        <v>94</v>
      </c>
      <c r="S49" s="17" t="s">
        <v>94</v>
      </c>
      <c r="T49" s="17" t="str">
        <f aca="false">IF(AND(R49="yes",S49="yes"),"yes","no")</f>
        <v>yes</v>
      </c>
    </row>
    <row r="50" customFormat="false" ht="15" hidden="false" customHeight="false" outlineLevel="0" collapsed="false">
      <c r="A50" s="17" t="n">
        <v>49</v>
      </c>
      <c r="B50" s="17" t="s">
        <v>200</v>
      </c>
      <c r="C50" s="17" t="s">
        <v>200</v>
      </c>
      <c r="D50" s="17" t="s">
        <v>60</v>
      </c>
      <c r="E50" s="17" t="str">
        <f aca="false">INDEX('Drug classes'!$B$2:$B$20,MATCH(D50,'Drug classes'!$A$2:$A$20,0))</f>
        <v>Broad anti-inflammatory</v>
      </c>
      <c r="F50" s="17" t="n">
        <v>3</v>
      </c>
      <c r="G50" s="17" t="n">
        <v>118</v>
      </c>
      <c r="H50" s="17" t="s">
        <v>95</v>
      </c>
      <c r="I50" s="2" t="s">
        <v>96</v>
      </c>
      <c r="J50" s="17" t="s">
        <v>96</v>
      </c>
      <c r="K50" s="17" t="s">
        <v>42</v>
      </c>
      <c r="L50" s="17" t="s">
        <v>39</v>
      </c>
      <c r="M50" s="2" t="s">
        <v>201</v>
      </c>
      <c r="N50" s="17" t="n">
        <v>18</v>
      </c>
      <c r="O50" s="17" t="str">
        <f aca="false">IF(N50="","Not reported",IF(N50&lt;=1,"Single dose",IF(N50&lt;=7,"2–7 days",IF(N50&lt;=28,"8–28 days",IF(N50&lt;=90,"1–3 months","&gt; 3 months")))))</f>
        <v>8–28 days</v>
      </c>
      <c r="P50" s="17" t="n">
        <v>14</v>
      </c>
      <c r="Q50" s="17" t="s">
        <v>136</v>
      </c>
      <c r="R50" s="17" t="s">
        <v>94</v>
      </c>
      <c r="S50" s="17" t="s">
        <v>94</v>
      </c>
      <c r="T50" s="17" t="str">
        <f aca="false">IF(AND(R50="yes",S50="yes"),"yes","no")</f>
        <v>yes</v>
      </c>
    </row>
    <row r="51" customFormat="false" ht="15" hidden="false" customHeight="false" outlineLevel="0" collapsed="false">
      <c r="A51" s="17" t="n">
        <v>50</v>
      </c>
      <c r="B51" s="17" t="s">
        <v>200</v>
      </c>
      <c r="C51" s="17" t="s">
        <v>200</v>
      </c>
      <c r="D51" s="17" t="s">
        <v>60</v>
      </c>
      <c r="E51" s="17" t="str">
        <f aca="false">INDEX('Drug classes'!$B$2:$B$20,MATCH(D51,'Drug classes'!$A$2:$A$20,0))</f>
        <v>Broad anti-inflammatory</v>
      </c>
      <c r="F51" s="17" t="n">
        <v>3</v>
      </c>
      <c r="G51" s="17" t="n">
        <v>118</v>
      </c>
      <c r="H51" s="17" t="s">
        <v>95</v>
      </c>
      <c r="I51" s="2" t="s">
        <v>142</v>
      </c>
      <c r="J51" s="17" t="s">
        <v>142</v>
      </c>
      <c r="K51" s="17" t="s">
        <v>43</v>
      </c>
      <c r="L51" s="17" t="s">
        <v>39</v>
      </c>
      <c r="M51" s="2" t="s">
        <v>201</v>
      </c>
      <c r="N51" s="17" t="n">
        <v>18</v>
      </c>
      <c r="O51" s="17" t="str">
        <f aca="false">IF(N51="","Not reported",IF(N51&lt;=1,"Single dose",IF(N51&lt;=7,"2–7 days",IF(N51&lt;=28,"8–28 days",IF(N51&lt;=90,"1–3 months","&gt; 3 months")))))</f>
        <v>8–28 days</v>
      </c>
      <c r="P51" s="17" t="n">
        <v>42</v>
      </c>
      <c r="Q51" s="17" t="s">
        <v>93</v>
      </c>
      <c r="R51" s="17" t="s">
        <v>94</v>
      </c>
      <c r="S51" s="17" t="s">
        <v>94</v>
      </c>
      <c r="T51" s="17" t="str">
        <f aca="false">IF(AND(R51="yes",S51="yes"),"yes","no")</f>
        <v>yes</v>
      </c>
    </row>
    <row r="52" customFormat="false" ht="26.85" hidden="false" customHeight="false" outlineLevel="0" collapsed="false">
      <c r="A52" s="17" t="n">
        <v>51</v>
      </c>
      <c r="B52" s="17" t="s">
        <v>200</v>
      </c>
      <c r="C52" s="17" t="s">
        <v>200</v>
      </c>
      <c r="D52" s="17" t="s">
        <v>60</v>
      </c>
      <c r="E52" s="17" t="str">
        <f aca="false">INDEX('Drug classes'!$B$2:$B$20,MATCH(D52,'Drug classes'!$A$2:$A$20,0))</f>
        <v>Broad anti-inflammatory</v>
      </c>
      <c r="F52" s="17" t="n">
        <v>3</v>
      </c>
      <c r="G52" s="17" t="n">
        <v>119</v>
      </c>
      <c r="H52" s="17" t="s">
        <v>95</v>
      </c>
      <c r="I52" s="2" t="s">
        <v>96</v>
      </c>
      <c r="J52" s="17" t="s">
        <v>96</v>
      </c>
      <c r="K52" s="17" t="s">
        <v>42</v>
      </c>
      <c r="L52" s="17" t="s">
        <v>37</v>
      </c>
      <c r="M52" s="2" t="s">
        <v>202</v>
      </c>
      <c r="N52" s="17" t="n">
        <v>8</v>
      </c>
      <c r="O52" s="17" t="str">
        <f aca="false">IF(N52="","Not reported",IF(N52&lt;=1,"Single dose",IF(N52&lt;=7,"2–7 days",IF(N52&lt;=28,"8–28 days",IF(N52&lt;=90,"1–3 months","&gt; 3 months")))))</f>
        <v>8–28 days</v>
      </c>
      <c r="P52" s="17"/>
      <c r="Q52" s="17" t="s">
        <v>93</v>
      </c>
      <c r="R52" s="17" t="s">
        <v>94</v>
      </c>
      <c r="S52" s="17" t="s">
        <v>94</v>
      </c>
      <c r="T52" s="17" t="str">
        <f aca="false">IF(AND(R52="yes",S52="yes"),"yes","no")</f>
        <v>yes</v>
      </c>
    </row>
    <row r="53" customFormat="false" ht="39.55" hidden="false" customHeight="false" outlineLevel="0" collapsed="false">
      <c r="A53" s="17" t="n">
        <v>52</v>
      </c>
      <c r="B53" s="17" t="s">
        <v>203</v>
      </c>
      <c r="C53" s="17" t="s">
        <v>203</v>
      </c>
      <c r="D53" s="17" t="s">
        <v>60</v>
      </c>
      <c r="E53" s="17" t="str">
        <f aca="false">INDEX('Drug classes'!$B$2:$B$20,MATCH(D53,'Drug classes'!$A$2:$A$20,0))</f>
        <v>Broad anti-inflammatory</v>
      </c>
      <c r="F53" s="17" t="n">
        <v>3</v>
      </c>
      <c r="G53" s="17" t="n">
        <v>120</v>
      </c>
      <c r="H53" s="17" t="s">
        <v>89</v>
      </c>
      <c r="I53" s="2" t="s">
        <v>204</v>
      </c>
      <c r="J53" s="17" t="s">
        <v>190</v>
      </c>
      <c r="K53" s="17" t="s">
        <v>42</v>
      </c>
      <c r="L53" s="17" t="s">
        <v>38</v>
      </c>
      <c r="M53" s="2" t="s">
        <v>205</v>
      </c>
      <c r="N53" s="17" t="n">
        <v>1</v>
      </c>
      <c r="O53" s="17" t="str">
        <f aca="false">IF(N53="","Not reported",IF(N53&lt;=1,"Single dose",IF(N53&lt;=7,"2–7 days",IF(N53&lt;=28,"8–28 days",IF(N53&lt;=90,"1–3 months","&gt; 3 months")))))</f>
        <v>Single dose</v>
      </c>
      <c r="P53" s="17" t="n">
        <v>45</v>
      </c>
      <c r="Q53" s="17" t="s">
        <v>129</v>
      </c>
      <c r="R53" s="17" t="s">
        <v>94</v>
      </c>
      <c r="S53" s="17" t="s">
        <v>94</v>
      </c>
      <c r="T53" s="17" t="str">
        <f aca="false">IF(AND(R53="yes",S53="yes"),"yes","no")</f>
        <v>yes</v>
      </c>
    </row>
    <row r="54" customFormat="false" ht="26.85" hidden="false" customHeight="false" outlineLevel="0" collapsed="false">
      <c r="A54" s="17" t="n">
        <v>53</v>
      </c>
      <c r="B54" s="17" t="s">
        <v>206</v>
      </c>
      <c r="C54" s="17" t="s">
        <v>206</v>
      </c>
      <c r="D54" s="17" t="s">
        <v>61</v>
      </c>
      <c r="E54" s="17" t="str">
        <f aca="false">INDEX('Drug classes'!$B$2:$B$20,MATCH(D54,'Drug classes'!$A$2:$A$20,0))</f>
        <v>Broad anti-inflammatory</v>
      </c>
      <c r="F54" s="17" t="n">
        <v>3</v>
      </c>
      <c r="G54" s="17" t="n">
        <v>122</v>
      </c>
      <c r="H54" s="17" t="s">
        <v>89</v>
      </c>
      <c r="I54" s="2" t="s">
        <v>112</v>
      </c>
      <c r="J54" s="17" t="s">
        <v>113</v>
      </c>
      <c r="K54" s="17" t="s">
        <v>43</v>
      </c>
      <c r="L54" s="17" t="s">
        <v>38</v>
      </c>
      <c r="M54" s="2" t="s">
        <v>207</v>
      </c>
      <c r="N54" s="17" t="n">
        <v>8</v>
      </c>
      <c r="O54" s="17" t="str">
        <f aca="false">IF(N54="","Not reported",IF(N54&lt;=1,"Single dose",IF(N54&lt;=7,"2–7 days",IF(N54&lt;=28,"8–28 days",IF(N54&lt;=90,"1–3 months","&gt; 3 months")))))</f>
        <v>8–28 days</v>
      </c>
      <c r="P54" s="17" t="n">
        <v>21</v>
      </c>
      <c r="Q54" s="17" t="s">
        <v>93</v>
      </c>
      <c r="R54" s="17" t="s">
        <v>94</v>
      </c>
      <c r="S54" s="17" t="s">
        <v>94</v>
      </c>
      <c r="T54" s="17" t="str">
        <f aca="false">IF(AND(R54="yes",S54="yes"),"yes","no")</f>
        <v>yes</v>
      </c>
    </row>
    <row r="55" customFormat="false" ht="15" hidden="false" customHeight="false" outlineLevel="0" collapsed="false">
      <c r="A55" s="17" t="n">
        <v>54</v>
      </c>
      <c r="B55" s="17" t="s">
        <v>208</v>
      </c>
      <c r="C55" s="17" t="s">
        <v>208</v>
      </c>
      <c r="D55" s="17" t="s">
        <v>61</v>
      </c>
      <c r="E55" s="17" t="str">
        <f aca="false">INDEX('Drug classes'!$B$2:$B$20,MATCH(D55,'Drug classes'!$A$2:$A$20,0))</f>
        <v>Broad anti-inflammatory</v>
      </c>
      <c r="F55" s="17" t="n">
        <v>3</v>
      </c>
      <c r="G55" s="17" t="n">
        <v>123</v>
      </c>
      <c r="H55" s="17" t="s">
        <v>95</v>
      </c>
      <c r="I55" s="2" t="s">
        <v>209</v>
      </c>
      <c r="J55" s="17" t="s">
        <v>209</v>
      </c>
      <c r="K55" s="17" t="s">
        <v>44</v>
      </c>
      <c r="L55" s="17" t="s">
        <v>37</v>
      </c>
      <c r="M55" s="2" t="s">
        <v>210</v>
      </c>
      <c r="N55" s="17" t="n">
        <v>304</v>
      </c>
      <c r="O55" s="17" t="str">
        <f aca="false">IF(N55="","Not reported",IF(N55&lt;=1,"Single dose",IF(N55&lt;=7,"2–7 days",IF(N55&lt;=28,"8–28 days",IF(N55&lt;=90,"1–3 months","&gt; 3 months")))))</f>
        <v>&gt; 3 months</v>
      </c>
      <c r="P55" s="17"/>
      <c r="Q55" s="17" t="s">
        <v>93</v>
      </c>
      <c r="R55" s="17" t="s">
        <v>94</v>
      </c>
      <c r="S55" s="17" t="s">
        <v>94</v>
      </c>
      <c r="T55" s="17" t="str">
        <f aca="false">IF(AND(R55="yes",S55="yes"),"yes","no")</f>
        <v>yes</v>
      </c>
    </row>
    <row r="56" customFormat="false" ht="15" hidden="false" customHeight="false" outlineLevel="0" collapsed="false">
      <c r="A56" s="17" t="n">
        <v>55</v>
      </c>
      <c r="B56" s="17" t="s">
        <v>208</v>
      </c>
      <c r="C56" s="17" t="s">
        <v>208</v>
      </c>
      <c r="D56" s="17" t="s">
        <v>61</v>
      </c>
      <c r="E56" s="17" t="str">
        <f aca="false">INDEX('Drug classes'!$B$2:$B$20,MATCH(D56,'Drug classes'!$A$2:$A$20,0))</f>
        <v>Broad anti-inflammatory</v>
      </c>
      <c r="F56" s="17" t="n">
        <v>3</v>
      </c>
      <c r="G56" s="17" t="n">
        <v>123</v>
      </c>
      <c r="H56" s="17" t="s">
        <v>95</v>
      </c>
      <c r="I56" s="2" t="s">
        <v>142</v>
      </c>
      <c r="J56" s="17" t="s">
        <v>142</v>
      </c>
      <c r="K56" s="17" t="s">
        <v>43</v>
      </c>
      <c r="L56" s="17" t="s">
        <v>37</v>
      </c>
      <c r="M56" s="2" t="s">
        <v>211</v>
      </c>
      <c r="N56" s="17" t="n">
        <v>31</v>
      </c>
      <c r="O56" s="17" t="str">
        <f aca="false">IF(N56="","Not reported",IF(N56&lt;=1,"Single dose",IF(N56&lt;=7,"2–7 days",IF(N56&lt;=28,"8–28 days",IF(N56&lt;=90,"1–3 months","&gt; 3 months")))))</f>
        <v>1–3 months</v>
      </c>
      <c r="P56" s="17" t="n">
        <v>28</v>
      </c>
      <c r="Q56" s="17" t="s">
        <v>93</v>
      </c>
      <c r="R56" s="17" t="s">
        <v>94</v>
      </c>
      <c r="S56" s="17" t="s">
        <v>94</v>
      </c>
      <c r="T56" s="17" t="str">
        <f aca="false">IF(AND(R56="yes",S56="yes"),"yes","no")</f>
        <v>yes</v>
      </c>
    </row>
    <row r="57" customFormat="false" ht="26.85" hidden="false" customHeight="false" outlineLevel="0" collapsed="false">
      <c r="A57" s="17" t="n">
        <v>56</v>
      </c>
      <c r="B57" s="17" t="s">
        <v>212</v>
      </c>
      <c r="C57" s="17" t="s">
        <v>213</v>
      </c>
      <c r="D57" s="17" t="s">
        <v>62</v>
      </c>
      <c r="E57" s="17" t="str">
        <f aca="false">INDEX('Drug classes'!$B$2:$B$20,MATCH(D57,'Drug classes'!$A$2:$A$20,0))</f>
        <v>Broad anti-inflammatory</v>
      </c>
      <c r="F57" s="17" t="n">
        <v>3</v>
      </c>
      <c r="G57" s="17" t="n">
        <v>124</v>
      </c>
      <c r="H57" s="17" t="s">
        <v>89</v>
      </c>
      <c r="I57" s="2" t="s">
        <v>90</v>
      </c>
      <c r="J57" s="17" t="s">
        <v>91</v>
      </c>
      <c r="K57" s="17" t="s">
        <v>43</v>
      </c>
      <c r="L57" s="17" t="s">
        <v>37</v>
      </c>
      <c r="M57" s="2" t="s">
        <v>214</v>
      </c>
      <c r="N57" s="17" t="n">
        <v>150</v>
      </c>
      <c r="O57" s="17" t="str">
        <f aca="false">IF(N57="","Not reported",IF(N57&lt;=1,"Single dose",IF(N57&lt;=7,"2–7 days",IF(N57&lt;=28,"8–28 days",IF(N57&lt;=90,"1–3 months","&gt; 3 months")))))</f>
        <v>&gt; 3 months</v>
      </c>
      <c r="P57" s="17" t="n">
        <v>150</v>
      </c>
      <c r="Q57" s="17" t="s">
        <v>93</v>
      </c>
      <c r="R57" s="17" t="s">
        <v>94</v>
      </c>
      <c r="S57" s="17" t="s">
        <v>94</v>
      </c>
      <c r="T57" s="17" t="str">
        <f aca="false">IF(AND(R57="yes",S57="yes"),"yes","no")</f>
        <v>yes</v>
      </c>
    </row>
    <row r="58" customFormat="false" ht="26.85" hidden="false" customHeight="false" outlineLevel="0" collapsed="false">
      <c r="A58" s="17" t="n">
        <v>57</v>
      </c>
      <c r="B58" s="17" t="s">
        <v>213</v>
      </c>
      <c r="C58" s="17" t="s">
        <v>213</v>
      </c>
      <c r="D58" s="17" t="s">
        <v>62</v>
      </c>
      <c r="E58" s="17" t="str">
        <f aca="false">INDEX('Drug classes'!$B$2:$B$20,MATCH(D58,'Drug classes'!$A$2:$A$20,0))</f>
        <v>Broad anti-inflammatory</v>
      </c>
      <c r="F58" s="17" t="n">
        <v>3</v>
      </c>
      <c r="G58" s="17" t="n">
        <v>125</v>
      </c>
      <c r="H58" s="17" t="s">
        <v>89</v>
      </c>
      <c r="I58" s="2" t="s">
        <v>96</v>
      </c>
      <c r="J58" s="17" t="s">
        <v>96</v>
      </c>
      <c r="K58" s="17" t="s">
        <v>42</v>
      </c>
      <c r="L58" s="17" t="s">
        <v>37</v>
      </c>
      <c r="M58" s="2" t="s">
        <v>215</v>
      </c>
      <c r="N58" s="17" t="n">
        <v>28</v>
      </c>
      <c r="O58" s="17" t="str">
        <f aca="false">IF(N58="","Not reported",IF(N58&lt;=1,"Single dose",IF(N58&lt;=7,"2–7 days",IF(N58&lt;=28,"8–28 days",IF(N58&lt;=90,"1–3 months","&gt; 3 months")))))</f>
        <v>8–28 days</v>
      </c>
      <c r="P58" s="17" t="n">
        <v>28</v>
      </c>
      <c r="Q58" s="17" t="s">
        <v>93</v>
      </c>
      <c r="R58" s="17" t="s">
        <v>94</v>
      </c>
      <c r="S58" s="17" t="s">
        <v>94</v>
      </c>
      <c r="T58" s="17" t="str">
        <f aca="false">IF(AND(R58="yes",S58="yes"),"yes","no")</f>
        <v>yes</v>
      </c>
    </row>
    <row r="59" customFormat="false" ht="15" hidden="false" customHeight="false" outlineLevel="0" collapsed="false">
      <c r="A59" s="17" t="n">
        <v>58</v>
      </c>
      <c r="B59" s="17" t="s">
        <v>213</v>
      </c>
      <c r="C59" s="17" t="s">
        <v>213</v>
      </c>
      <c r="D59" s="17" t="s">
        <v>62</v>
      </c>
      <c r="E59" s="17" t="str">
        <f aca="false">INDEX('Drug classes'!$B$2:$B$20,MATCH(D59,'Drug classes'!$A$2:$A$20,0))</f>
        <v>Broad anti-inflammatory</v>
      </c>
      <c r="F59" s="17" t="n">
        <v>3</v>
      </c>
      <c r="G59" s="17" t="n">
        <v>126</v>
      </c>
      <c r="H59" s="17" t="s">
        <v>89</v>
      </c>
      <c r="I59" s="2" t="s">
        <v>96</v>
      </c>
      <c r="J59" s="17" t="s">
        <v>96</v>
      </c>
      <c r="K59" s="17" t="s">
        <v>42</v>
      </c>
      <c r="L59" s="17" t="s">
        <v>37</v>
      </c>
      <c r="M59" s="2" t="s">
        <v>116</v>
      </c>
      <c r="N59" s="17" t="n">
        <v>28</v>
      </c>
      <c r="O59" s="17" t="str">
        <f aca="false">IF(N59="","Not reported",IF(N59&lt;=1,"Single dose",IF(N59&lt;=7,"2–7 days",IF(N59&lt;=28,"8–28 days",IF(N59&lt;=90,"1–3 months","&gt; 3 months")))))</f>
        <v>8–28 days</v>
      </c>
      <c r="P59" s="17" t="n">
        <v>28</v>
      </c>
      <c r="Q59" s="17" t="s">
        <v>93</v>
      </c>
      <c r="R59" s="17" t="s">
        <v>94</v>
      </c>
      <c r="S59" s="17" t="s">
        <v>94</v>
      </c>
      <c r="T59" s="17" t="str">
        <f aca="false">IF(AND(R59="yes",S59="yes"),"yes","no")</f>
        <v>yes</v>
      </c>
    </row>
    <row r="60" customFormat="false" ht="26.85" hidden="false" customHeight="false" outlineLevel="0" collapsed="false">
      <c r="A60" s="17" t="n">
        <v>59</v>
      </c>
      <c r="B60" s="17" t="s">
        <v>216</v>
      </c>
      <c r="C60" s="17" t="s">
        <v>213</v>
      </c>
      <c r="D60" s="17" t="s">
        <v>62</v>
      </c>
      <c r="E60" s="17" t="str">
        <f aca="false">INDEX('Drug classes'!$B$2:$B$20,MATCH(D60,'Drug classes'!$A$2:$A$20,0))</f>
        <v>Broad anti-inflammatory</v>
      </c>
      <c r="F60" s="17" t="n">
        <v>3</v>
      </c>
      <c r="G60" s="17" t="n">
        <v>127</v>
      </c>
      <c r="H60" s="17" t="s">
        <v>89</v>
      </c>
      <c r="I60" s="2" t="s">
        <v>96</v>
      </c>
      <c r="J60" s="17" t="s">
        <v>96</v>
      </c>
      <c r="K60" s="17" t="s">
        <v>42</v>
      </c>
      <c r="L60" s="17" t="s">
        <v>109</v>
      </c>
      <c r="M60" s="2" t="s">
        <v>217</v>
      </c>
      <c r="N60" s="17" t="n">
        <v>1</v>
      </c>
      <c r="O60" s="17" t="str">
        <f aca="false">IF(N60="","Not reported",IF(N60&lt;=1,"Single dose",IF(N60&lt;=7,"2–7 days",IF(N60&lt;=28,"8–28 days",IF(N60&lt;=90,"1–3 months","&gt; 3 months")))))</f>
        <v>Single dose</v>
      </c>
      <c r="P60" s="17"/>
      <c r="Q60" s="17" t="s">
        <v>93</v>
      </c>
      <c r="R60" s="17" t="s">
        <v>94</v>
      </c>
      <c r="S60" s="17" t="s">
        <v>94</v>
      </c>
      <c r="T60" s="17" t="str">
        <f aca="false">IF(AND(R60="yes",S60="yes"),"yes","no")</f>
        <v>yes</v>
      </c>
    </row>
    <row r="61" customFormat="false" ht="15" hidden="false" customHeight="false" outlineLevel="0" collapsed="false">
      <c r="A61" s="17" t="n">
        <v>60</v>
      </c>
      <c r="B61" s="17" t="s">
        <v>218</v>
      </c>
      <c r="C61" s="17" t="s">
        <v>218</v>
      </c>
      <c r="D61" s="17" t="s">
        <v>62</v>
      </c>
      <c r="E61" s="17" t="str">
        <f aca="false">INDEX('Drug classes'!$B$2:$B$20,MATCH(D61,'Drug classes'!$A$2:$A$20,0))</f>
        <v>Broad anti-inflammatory</v>
      </c>
      <c r="F61" s="17" t="n">
        <v>3</v>
      </c>
      <c r="G61" s="17" t="n">
        <v>129</v>
      </c>
      <c r="H61" s="17" t="s">
        <v>95</v>
      </c>
      <c r="I61" s="2" t="s">
        <v>142</v>
      </c>
      <c r="J61" s="17" t="s">
        <v>142</v>
      </c>
      <c r="K61" s="17" t="s">
        <v>43</v>
      </c>
      <c r="L61" s="17" t="s">
        <v>37</v>
      </c>
      <c r="M61" s="2" t="s">
        <v>219</v>
      </c>
      <c r="N61" s="17" t="n">
        <v>42</v>
      </c>
      <c r="O61" s="17" t="str">
        <f aca="false">IF(N61="","Not reported",IF(N61&lt;=1,"Single dose",IF(N61&lt;=7,"2–7 days",IF(N61&lt;=28,"8–28 days",IF(N61&lt;=90,"1–3 months","&gt; 3 months")))))</f>
        <v>1–3 months</v>
      </c>
      <c r="P61" s="17" t="n">
        <v>42</v>
      </c>
      <c r="Q61" s="17" t="s">
        <v>160</v>
      </c>
      <c r="R61" s="17" t="s">
        <v>94</v>
      </c>
      <c r="S61" s="17" t="s">
        <v>94</v>
      </c>
      <c r="T61" s="17" t="str">
        <f aca="false">IF(AND(R61="yes",S61="yes"),"yes","no")</f>
        <v>yes</v>
      </c>
    </row>
    <row r="62" customFormat="false" ht="15" hidden="false" customHeight="false" outlineLevel="0" collapsed="false">
      <c r="A62" s="17" t="n">
        <v>61</v>
      </c>
      <c r="B62" s="17" t="s">
        <v>218</v>
      </c>
      <c r="C62" s="17" t="s">
        <v>218</v>
      </c>
      <c r="D62" s="17" t="s">
        <v>62</v>
      </c>
      <c r="E62" s="17" t="str">
        <f aca="false">INDEX('Drug classes'!$B$2:$B$20,MATCH(D62,'Drug classes'!$A$2:$A$20,0))</f>
        <v>Broad anti-inflammatory</v>
      </c>
      <c r="F62" s="17" t="n">
        <v>3</v>
      </c>
      <c r="G62" s="17" t="n">
        <v>130</v>
      </c>
      <c r="H62" s="17" t="s">
        <v>89</v>
      </c>
      <c r="I62" s="2" t="s">
        <v>220</v>
      </c>
      <c r="J62" s="17" t="s">
        <v>96</v>
      </c>
      <c r="K62" s="17" t="s">
        <v>42</v>
      </c>
      <c r="L62" s="17" t="s">
        <v>37</v>
      </c>
      <c r="M62" s="2" t="s">
        <v>221</v>
      </c>
      <c r="N62" s="17" t="n">
        <v>7</v>
      </c>
      <c r="O62" s="17" t="str">
        <f aca="false">IF(N62="","Not reported",IF(N62&lt;=1,"Single dose",IF(N62&lt;=7,"2–7 days",IF(N62&lt;=28,"8–28 days",IF(N62&lt;=90,"1–3 months","&gt; 3 months")))))</f>
        <v>2–7 days</v>
      </c>
      <c r="P62" s="17"/>
      <c r="Q62" s="17" t="s">
        <v>150</v>
      </c>
      <c r="R62" s="17" t="s">
        <v>94</v>
      </c>
      <c r="S62" s="17" t="s">
        <v>94</v>
      </c>
      <c r="T62" s="17" t="str">
        <f aca="false">IF(AND(R62="yes",S62="yes"),"yes","no")</f>
        <v>yes</v>
      </c>
    </row>
    <row r="63" customFormat="false" ht="15" hidden="false" customHeight="false" outlineLevel="0" collapsed="false">
      <c r="A63" s="17" t="n">
        <v>62</v>
      </c>
      <c r="B63" s="17" t="s">
        <v>222</v>
      </c>
      <c r="C63" s="17" t="s">
        <v>222</v>
      </c>
      <c r="D63" s="17" t="s">
        <v>62</v>
      </c>
      <c r="E63" s="17" t="str">
        <f aca="false">INDEX('Drug classes'!$B$2:$B$20,MATCH(D63,'Drug classes'!$A$2:$A$20,0))</f>
        <v>Broad anti-inflammatory</v>
      </c>
      <c r="F63" s="17" t="n">
        <v>3</v>
      </c>
      <c r="G63" s="17" t="n">
        <v>133</v>
      </c>
      <c r="H63" s="17" t="s">
        <v>95</v>
      </c>
      <c r="I63" s="2" t="s">
        <v>121</v>
      </c>
      <c r="J63" s="17" t="s">
        <v>102</v>
      </c>
      <c r="K63" s="17" t="s">
        <v>42</v>
      </c>
      <c r="L63" s="17" t="s">
        <v>38</v>
      </c>
      <c r="M63" s="2" t="s">
        <v>223</v>
      </c>
      <c r="N63" s="17" t="n">
        <v>22</v>
      </c>
      <c r="O63" s="17" t="str">
        <f aca="false">IF(N63="","Not reported",IF(N63&lt;=1,"Single dose",IF(N63&lt;=7,"2–7 days",IF(N63&lt;=28,"8–28 days",IF(N63&lt;=90,"1–3 months","&gt; 3 months")))))</f>
        <v>8–28 days</v>
      </c>
      <c r="P63" s="17" t="n">
        <v>28</v>
      </c>
      <c r="Q63" s="17" t="s">
        <v>93</v>
      </c>
      <c r="R63" s="17" t="s">
        <v>94</v>
      </c>
      <c r="S63" s="17" t="s">
        <v>94</v>
      </c>
      <c r="T63" s="17" t="str">
        <f aca="false">IF(AND(R63="yes",S63="yes"),"yes","no")</f>
        <v>yes</v>
      </c>
    </row>
    <row r="64" customFormat="false" ht="15" hidden="false" customHeight="false" outlineLevel="0" collapsed="false">
      <c r="A64" s="17" t="n">
        <v>63</v>
      </c>
      <c r="B64" s="17" t="s">
        <v>224</v>
      </c>
      <c r="C64" s="17" t="s">
        <v>224</v>
      </c>
      <c r="D64" s="17" t="s">
        <v>62</v>
      </c>
      <c r="E64" s="17" t="str">
        <f aca="false">INDEX('Drug classes'!$B$2:$B$20,MATCH(D64,'Drug classes'!$A$2:$A$20,0))</f>
        <v>Broad anti-inflammatory</v>
      </c>
      <c r="F64" s="17" t="n">
        <v>3</v>
      </c>
      <c r="G64" s="17" t="n">
        <v>134</v>
      </c>
      <c r="H64" s="17" t="s">
        <v>89</v>
      </c>
      <c r="I64" s="2" t="s">
        <v>194</v>
      </c>
      <c r="J64" s="17" t="s">
        <v>190</v>
      </c>
      <c r="K64" s="17" t="s">
        <v>42</v>
      </c>
      <c r="L64" s="17" t="s">
        <v>37</v>
      </c>
      <c r="M64" s="2" t="s">
        <v>116</v>
      </c>
      <c r="N64" s="17" t="n">
        <v>22</v>
      </c>
      <c r="O64" s="17" t="str">
        <f aca="false">IF(N64="","Not reported",IF(N64&lt;=1,"Single dose",IF(N64&lt;=7,"2–7 days",IF(N64&lt;=28,"8–28 days",IF(N64&lt;=90,"1–3 months","&gt; 3 months")))))</f>
        <v>8–28 days</v>
      </c>
      <c r="P64" s="17" t="n">
        <v>21</v>
      </c>
      <c r="Q64" s="17" t="s">
        <v>93</v>
      </c>
      <c r="R64" s="17" t="s">
        <v>94</v>
      </c>
      <c r="S64" s="17" t="s">
        <v>94</v>
      </c>
      <c r="T64" s="17" t="str">
        <f aca="false">IF(AND(R64="yes",S64="yes"),"yes","no")</f>
        <v>yes</v>
      </c>
    </row>
    <row r="65" customFormat="false" ht="15" hidden="false" customHeight="false" outlineLevel="0" collapsed="false">
      <c r="A65" s="17" t="n">
        <v>64</v>
      </c>
      <c r="B65" s="17" t="s">
        <v>225</v>
      </c>
      <c r="C65" s="17" t="s">
        <v>225</v>
      </c>
      <c r="D65" s="17" t="s">
        <v>62</v>
      </c>
      <c r="E65" s="17" t="str">
        <f aca="false">INDEX('Drug classes'!$B$2:$B$20,MATCH(D65,'Drug classes'!$A$2:$A$20,0))</f>
        <v>Broad anti-inflammatory</v>
      </c>
      <c r="F65" s="17" t="n">
        <v>3</v>
      </c>
      <c r="G65" s="17" t="n">
        <v>135</v>
      </c>
      <c r="H65" s="17" t="s">
        <v>95</v>
      </c>
      <c r="I65" s="2" t="s">
        <v>96</v>
      </c>
      <c r="J65" s="17" t="s">
        <v>96</v>
      </c>
      <c r="K65" s="17" t="s">
        <v>42</v>
      </c>
      <c r="L65" s="17" t="s">
        <v>38</v>
      </c>
      <c r="M65" s="2" t="s">
        <v>117</v>
      </c>
      <c r="N65" s="17" t="n">
        <v>1</v>
      </c>
      <c r="O65" s="17" t="str">
        <f aca="false">IF(N65="","Not reported",IF(N65&lt;=1,"Single dose",IF(N65&lt;=7,"2–7 days",IF(N65&lt;=28,"8–28 days",IF(N65&lt;=90,"1–3 months","&gt; 3 months")))))</f>
        <v>Single dose</v>
      </c>
      <c r="P65" s="17" t="n">
        <v>14</v>
      </c>
      <c r="Q65" s="17" t="s">
        <v>93</v>
      </c>
      <c r="R65" s="17" t="s">
        <v>94</v>
      </c>
      <c r="S65" s="17" t="s">
        <v>94</v>
      </c>
      <c r="T65" s="17" t="str">
        <f aca="false">IF(AND(R65="yes",S65="yes"),"yes","no")</f>
        <v>yes</v>
      </c>
    </row>
    <row r="66" customFormat="false" ht="15" hidden="false" customHeight="false" outlineLevel="0" collapsed="false">
      <c r="A66" s="17" t="n">
        <v>65</v>
      </c>
      <c r="B66" s="17" t="s">
        <v>226</v>
      </c>
      <c r="C66" s="17" t="s">
        <v>226</v>
      </c>
      <c r="D66" s="17" t="s">
        <v>62</v>
      </c>
      <c r="E66" s="17" t="str">
        <f aca="false">INDEX('Drug classes'!$B$2:$B$20,MATCH(D66,'Drug classes'!$A$2:$A$20,0))</f>
        <v>Broad anti-inflammatory</v>
      </c>
      <c r="F66" s="17" t="n">
        <v>3</v>
      </c>
      <c r="G66" s="17" t="n">
        <v>136</v>
      </c>
      <c r="H66" s="17" t="s">
        <v>89</v>
      </c>
      <c r="I66" s="2" t="s">
        <v>96</v>
      </c>
      <c r="J66" s="17" t="s">
        <v>96</v>
      </c>
      <c r="K66" s="17" t="s">
        <v>42</v>
      </c>
      <c r="L66" s="17" t="s">
        <v>37</v>
      </c>
      <c r="M66" s="2" t="s">
        <v>227</v>
      </c>
      <c r="N66" s="17" t="n">
        <v>1</v>
      </c>
      <c r="O66" s="17" t="str">
        <f aca="false">IF(N66="","Not reported",IF(N66&lt;=1,"Single dose",IF(N66&lt;=7,"2–7 days",IF(N66&lt;=28,"8–28 days",IF(N66&lt;=90,"1–3 months","&gt; 3 months")))))</f>
        <v>Single dose</v>
      </c>
      <c r="P66" s="17" t="n">
        <v>10</v>
      </c>
      <c r="Q66" s="17" t="s">
        <v>136</v>
      </c>
      <c r="R66" s="17" t="s">
        <v>94</v>
      </c>
      <c r="S66" s="17" t="s">
        <v>94</v>
      </c>
      <c r="T66" s="17" t="str">
        <f aca="false">IF(AND(R66="yes",S66="yes"),"yes","no")</f>
        <v>yes</v>
      </c>
    </row>
    <row r="67" customFormat="false" ht="15" hidden="false" customHeight="false" outlineLevel="0" collapsed="false">
      <c r="A67" s="17" t="n">
        <v>66</v>
      </c>
      <c r="B67" s="17" t="s">
        <v>226</v>
      </c>
      <c r="C67" s="17" t="s">
        <v>226</v>
      </c>
      <c r="D67" s="17" t="s">
        <v>62</v>
      </c>
      <c r="E67" s="17" t="str">
        <f aca="false">INDEX('Drug classes'!$B$2:$B$20,MATCH(D67,'Drug classes'!$A$2:$A$20,0))</f>
        <v>Broad anti-inflammatory</v>
      </c>
      <c r="F67" s="17" t="n">
        <v>3</v>
      </c>
      <c r="G67" s="17" t="n">
        <v>137</v>
      </c>
      <c r="H67" s="17" t="s">
        <v>95</v>
      </c>
      <c r="I67" s="2" t="s">
        <v>148</v>
      </c>
      <c r="J67" s="17" t="s">
        <v>148</v>
      </c>
      <c r="K67" s="17" t="s">
        <v>44</v>
      </c>
      <c r="L67" s="17" t="s">
        <v>37</v>
      </c>
      <c r="M67" s="2" t="s">
        <v>228</v>
      </c>
      <c r="N67" s="17" t="n">
        <v>122</v>
      </c>
      <c r="O67" s="17" t="str">
        <f aca="false">IF(N67="","Not reported",IF(N67&lt;=1,"Single dose",IF(N67&lt;=7,"2–7 days",IF(N67&lt;=28,"8–28 days",IF(N67&lt;=90,"1–3 months","&gt; 3 months")))))</f>
        <v>&gt; 3 months</v>
      </c>
      <c r="P67" s="17"/>
      <c r="Q67" s="17" t="s">
        <v>93</v>
      </c>
      <c r="R67" s="17" t="s">
        <v>94</v>
      </c>
      <c r="S67" s="17" t="s">
        <v>94</v>
      </c>
      <c r="T67" s="17" t="str">
        <f aca="false">IF(AND(R67="yes",S67="yes"),"yes","no")</f>
        <v>yes</v>
      </c>
    </row>
    <row r="68" customFormat="false" ht="15" hidden="false" customHeight="false" outlineLevel="0" collapsed="false">
      <c r="A68" s="17" t="n">
        <v>67</v>
      </c>
      <c r="B68" s="17" t="s">
        <v>229</v>
      </c>
      <c r="C68" s="17" t="s">
        <v>229</v>
      </c>
      <c r="D68" s="17" t="s">
        <v>62</v>
      </c>
      <c r="E68" s="17" t="str">
        <f aca="false">INDEX('Drug classes'!$B$2:$B$20,MATCH(D68,'Drug classes'!$A$2:$A$20,0))</f>
        <v>Broad anti-inflammatory</v>
      </c>
      <c r="F68" s="17" t="n">
        <v>3</v>
      </c>
      <c r="G68" s="17" t="n">
        <v>131</v>
      </c>
      <c r="H68" s="17" t="s">
        <v>89</v>
      </c>
      <c r="I68" s="2" t="s">
        <v>96</v>
      </c>
      <c r="J68" s="17" t="s">
        <v>96</v>
      </c>
      <c r="K68" s="17" t="s">
        <v>42</v>
      </c>
      <c r="L68" s="17" t="s">
        <v>37</v>
      </c>
      <c r="M68" s="2" t="s">
        <v>230</v>
      </c>
      <c r="N68" s="17" t="n">
        <v>14</v>
      </c>
      <c r="O68" s="17" t="str">
        <f aca="false">IF(N68="","Not reported",IF(N68&lt;=1,"Single dose",IF(N68&lt;=7,"2–7 days",IF(N68&lt;=28,"8–28 days",IF(N68&lt;=90,"1–3 months","&gt; 3 months")))))</f>
        <v>8–28 days</v>
      </c>
      <c r="P68" s="17" t="n">
        <v>14</v>
      </c>
      <c r="Q68" s="17" t="s">
        <v>93</v>
      </c>
      <c r="R68" s="17" t="s">
        <v>94</v>
      </c>
      <c r="S68" s="17" t="s">
        <v>94</v>
      </c>
      <c r="T68" s="17" t="str">
        <f aca="false">IF(AND(R68="yes",S68="yes"),"yes","no")</f>
        <v>yes</v>
      </c>
    </row>
    <row r="69" customFormat="false" ht="15" hidden="false" customHeight="false" outlineLevel="0" collapsed="false">
      <c r="A69" s="17" t="n">
        <v>68</v>
      </c>
      <c r="B69" s="17" t="s">
        <v>229</v>
      </c>
      <c r="C69" s="17" t="s">
        <v>229</v>
      </c>
      <c r="D69" s="17" t="s">
        <v>62</v>
      </c>
      <c r="E69" s="17" t="str">
        <f aca="false">INDEX('Drug classes'!$B$2:$B$20,MATCH(D69,'Drug classes'!$A$2:$A$20,0))</f>
        <v>Broad anti-inflammatory</v>
      </c>
      <c r="F69" s="17" t="n">
        <v>3</v>
      </c>
      <c r="G69" s="17" t="n">
        <v>131</v>
      </c>
      <c r="H69" s="17" t="s">
        <v>89</v>
      </c>
      <c r="I69" s="2" t="s">
        <v>96</v>
      </c>
      <c r="J69" s="17" t="s">
        <v>96</v>
      </c>
      <c r="K69" s="17" t="s">
        <v>42</v>
      </c>
      <c r="L69" s="17" t="s">
        <v>38</v>
      </c>
      <c r="M69" s="2" t="s">
        <v>117</v>
      </c>
      <c r="N69" s="17" t="n">
        <v>1</v>
      </c>
      <c r="O69" s="17" t="str">
        <f aca="false">IF(N69="","Not reported",IF(N69&lt;=1,"Single dose",IF(N69&lt;=7,"2–7 days",IF(N69&lt;=28,"8–28 days",IF(N69&lt;=90,"1–3 months","&gt; 3 months")))))</f>
        <v>Single dose</v>
      </c>
      <c r="P69" s="17" t="n">
        <v>14</v>
      </c>
      <c r="Q69" s="17" t="s">
        <v>136</v>
      </c>
      <c r="R69" s="17" t="s">
        <v>94</v>
      </c>
      <c r="S69" s="17" t="s">
        <v>94</v>
      </c>
      <c r="T69" s="17" t="str">
        <f aca="false">IF(AND(R69="yes",S69="yes"),"yes","no")</f>
        <v>yes</v>
      </c>
    </row>
    <row r="70" customFormat="false" ht="15" hidden="false" customHeight="false" outlineLevel="0" collapsed="false">
      <c r="A70" s="17" t="n">
        <v>69</v>
      </c>
      <c r="B70" s="17" t="s">
        <v>229</v>
      </c>
      <c r="C70" s="17" t="s">
        <v>229</v>
      </c>
      <c r="D70" s="17" t="s">
        <v>62</v>
      </c>
      <c r="E70" s="17" t="str">
        <f aca="false">INDEX('Drug classes'!$B$2:$B$20,MATCH(D70,'Drug classes'!$A$2:$A$20,0))</f>
        <v>Broad anti-inflammatory</v>
      </c>
      <c r="F70" s="17" t="n">
        <v>3</v>
      </c>
      <c r="G70" s="17" t="n">
        <v>132</v>
      </c>
      <c r="H70" s="17" t="s">
        <v>89</v>
      </c>
      <c r="I70" s="2" t="s">
        <v>198</v>
      </c>
      <c r="J70" s="17" t="s">
        <v>198</v>
      </c>
      <c r="K70" s="17" t="s">
        <v>43</v>
      </c>
      <c r="L70" s="17" t="s">
        <v>37</v>
      </c>
      <c r="M70" s="2" t="s">
        <v>231</v>
      </c>
      <c r="N70" s="17" t="n">
        <v>35</v>
      </c>
      <c r="O70" s="17" t="str">
        <f aca="false">IF(N70="","Not reported",IF(N70&lt;=1,"Single dose",IF(N70&lt;=7,"2–7 days",IF(N70&lt;=28,"8–28 days",IF(N70&lt;=90,"1–3 months","&gt; 3 months")))))</f>
        <v>1–3 months</v>
      </c>
      <c r="P70" s="17" t="n">
        <v>35</v>
      </c>
      <c r="Q70" s="17" t="s">
        <v>93</v>
      </c>
      <c r="R70" s="17" t="s">
        <v>94</v>
      </c>
      <c r="S70" s="17" t="s">
        <v>94</v>
      </c>
      <c r="T70" s="17" t="str">
        <f aca="false">IF(AND(R70="yes",S70="yes"),"yes","no")</f>
        <v>yes</v>
      </c>
    </row>
    <row r="71" customFormat="false" ht="26.85" hidden="false" customHeight="false" outlineLevel="0" collapsed="false">
      <c r="A71" s="17" t="n">
        <v>70</v>
      </c>
      <c r="B71" s="17" t="s">
        <v>232</v>
      </c>
      <c r="C71" s="17" t="s">
        <v>232</v>
      </c>
      <c r="D71" s="17" t="s">
        <v>63</v>
      </c>
      <c r="E71" s="17" t="str">
        <f aca="false">INDEX('Drug classes'!$B$2:$B$20,MATCH(D71,'Drug classes'!$A$2:$A$20,0))</f>
        <v>Broad anti-inflammatory</v>
      </c>
      <c r="F71" s="17" t="n">
        <v>3</v>
      </c>
      <c r="G71" s="17" t="n">
        <v>138</v>
      </c>
      <c r="H71" s="17" t="s">
        <v>95</v>
      </c>
      <c r="I71" s="2" t="s">
        <v>121</v>
      </c>
      <c r="J71" s="17" t="s">
        <v>102</v>
      </c>
      <c r="K71" s="17" t="s">
        <v>42</v>
      </c>
      <c r="L71" s="17" t="s">
        <v>37</v>
      </c>
      <c r="M71" s="2" t="s">
        <v>233</v>
      </c>
      <c r="N71" s="17" t="n">
        <v>15</v>
      </c>
      <c r="O71" s="17" t="str">
        <f aca="false">IF(N71="","Not reported",IF(N71&lt;=1,"Single dose",IF(N71&lt;=7,"2–7 days",IF(N71&lt;=28,"8–28 days",IF(N71&lt;=90,"1–3 months","&gt; 3 months")))))</f>
        <v>8–28 days</v>
      </c>
      <c r="P71" s="17" t="n">
        <v>14</v>
      </c>
      <c r="Q71" s="17" t="s">
        <v>93</v>
      </c>
      <c r="R71" s="17" t="s">
        <v>94</v>
      </c>
      <c r="S71" s="17" t="s">
        <v>94</v>
      </c>
      <c r="T71" s="17" t="str">
        <f aca="false">IF(AND(R71="yes",S71="yes"),"yes","no")</f>
        <v>yes</v>
      </c>
    </row>
    <row r="72" customFormat="false" ht="15" hidden="false" customHeight="false" outlineLevel="0" collapsed="false">
      <c r="A72" s="17" t="n">
        <v>71</v>
      </c>
      <c r="B72" s="17" t="s">
        <v>232</v>
      </c>
      <c r="C72" s="17" t="s">
        <v>232</v>
      </c>
      <c r="D72" s="17" t="s">
        <v>63</v>
      </c>
      <c r="E72" s="17" t="str">
        <f aca="false">INDEX('Drug classes'!$B$2:$B$20,MATCH(D72,'Drug classes'!$A$2:$A$20,0))</f>
        <v>Broad anti-inflammatory</v>
      </c>
      <c r="F72" s="17" t="n">
        <v>3</v>
      </c>
      <c r="G72" s="17" t="n">
        <v>140</v>
      </c>
      <c r="H72" s="17" t="s">
        <v>89</v>
      </c>
      <c r="I72" s="2" t="s">
        <v>234</v>
      </c>
      <c r="J72" s="17" t="s">
        <v>190</v>
      </c>
      <c r="K72" s="17" t="s">
        <v>42</v>
      </c>
      <c r="L72" s="17" t="s">
        <v>37</v>
      </c>
      <c r="M72" s="2" t="s">
        <v>235</v>
      </c>
      <c r="N72" s="17" t="n">
        <v>21</v>
      </c>
      <c r="O72" s="17" t="str">
        <f aca="false">IF(N72="","Not reported",IF(N72&lt;=1,"Single dose",IF(N72&lt;=7,"2–7 days",IF(N72&lt;=28,"8–28 days",IF(N72&lt;=90,"1–3 months","&gt; 3 months")))))</f>
        <v>8–28 days</v>
      </c>
      <c r="P72" s="17" t="n">
        <v>21</v>
      </c>
      <c r="Q72" s="17" t="s">
        <v>136</v>
      </c>
      <c r="R72" s="17" t="s">
        <v>94</v>
      </c>
      <c r="S72" s="17" t="s">
        <v>94</v>
      </c>
      <c r="T72" s="17" t="str">
        <f aca="false">IF(AND(R72="yes",S72="yes"),"yes","no")</f>
        <v>yes</v>
      </c>
    </row>
    <row r="73" customFormat="false" ht="26.85" hidden="false" customHeight="false" outlineLevel="0" collapsed="false">
      <c r="A73" s="17" t="n">
        <v>72</v>
      </c>
      <c r="B73" s="17" t="s">
        <v>236</v>
      </c>
      <c r="C73" s="17" t="s">
        <v>236</v>
      </c>
      <c r="D73" s="17" t="s">
        <v>63</v>
      </c>
      <c r="E73" s="17" t="str">
        <f aca="false">INDEX('Drug classes'!$B$2:$B$20,MATCH(D73,'Drug classes'!$A$2:$A$20,0))</f>
        <v>Broad anti-inflammatory</v>
      </c>
      <c r="F73" s="17" t="n">
        <v>3</v>
      </c>
      <c r="G73" s="17" t="n">
        <v>140</v>
      </c>
      <c r="H73" s="17" t="s">
        <v>89</v>
      </c>
      <c r="I73" s="2" t="s">
        <v>234</v>
      </c>
      <c r="J73" s="17" t="s">
        <v>190</v>
      </c>
      <c r="K73" s="17" t="s">
        <v>42</v>
      </c>
      <c r="L73" s="17" t="s">
        <v>37</v>
      </c>
      <c r="M73" s="2" t="s">
        <v>237</v>
      </c>
      <c r="N73" s="17" t="n">
        <v>21</v>
      </c>
      <c r="O73" s="17" t="str">
        <f aca="false">IF(N73="","Not reported",IF(N73&lt;=1,"Single dose",IF(N73&lt;=7,"2–7 days",IF(N73&lt;=28,"8–28 days",IF(N73&lt;=90,"1–3 months","&gt; 3 months")))))</f>
        <v>8–28 days</v>
      </c>
      <c r="P73" s="17" t="n">
        <v>21</v>
      </c>
      <c r="Q73" s="17" t="s">
        <v>136</v>
      </c>
      <c r="R73" s="17" t="s">
        <v>94</v>
      </c>
      <c r="S73" s="17" t="s">
        <v>94</v>
      </c>
      <c r="T73" s="17" t="str">
        <f aca="false">IF(AND(R73="yes",S73="yes"),"yes","no")</f>
        <v>yes</v>
      </c>
    </row>
    <row r="74" customFormat="false" ht="15" hidden="false" customHeight="false" outlineLevel="0" collapsed="false">
      <c r="A74" s="17" t="n">
        <v>73</v>
      </c>
      <c r="B74" s="17" t="s">
        <v>238</v>
      </c>
      <c r="C74" s="17" t="s">
        <v>238</v>
      </c>
      <c r="D74" s="17" t="s">
        <v>64</v>
      </c>
      <c r="E74" s="17" t="str">
        <f aca="false">INDEX('Drug classes'!$B$2:$B$20,MATCH(D74,'Drug classes'!$A$2:$A$20,0))</f>
        <v>Broad anti-inflammatory</v>
      </c>
      <c r="F74" s="17" t="n">
        <v>3</v>
      </c>
      <c r="G74" s="17" t="n">
        <v>141</v>
      </c>
      <c r="H74" s="17" t="s">
        <v>89</v>
      </c>
      <c r="I74" s="2" t="s">
        <v>96</v>
      </c>
      <c r="J74" s="17" t="s">
        <v>96</v>
      </c>
      <c r="K74" s="17" t="s">
        <v>42</v>
      </c>
      <c r="L74" s="17" t="s">
        <v>38</v>
      </c>
      <c r="M74" s="2" t="s">
        <v>117</v>
      </c>
      <c r="N74" s="17" t="n">
        <v>1</v>
      </c>
      <c r="O74" s="17" t="str">
        <f aca="false">IF(N74="","Not reported",IF(N74&lt;=1,"Single dose",IF(N74&lt;=7,"2–7 days",IF(N74&lt;=28,"8–28 days",IF(N74&lt;=90,"1–3 months","&gt; 3 months")))))</f>
        <v>Single dose</v>
      </c>
      <c r="P74" s="17" t="n">
        <v>7</v>
      </c>
      <c r="Q74" s="17" t="s">
        <v>93</v>
      </c>
      <c r="R74" s="17" t="s">
        <v>94</v>
      </c>
      <c r="S74" s="17" t="s">
        <v>94</v>
      </c>
      <c r="T74" s="17" t="str">
        <f aca="false">IF(AND(R74="yes",S74="yes"),"yes","no")</f>
        <v>yes</v>
      </c>
    </row>
    <row r="75" customFormat="false" ht="26.85" hidden="false" customHeight="false" outlineLevel="0" collapsed="false">
      <c r="A75" s="17" t="n">
        <v>74</v>
      </c>
      <c r="B75" s="17" t="s">
        <v>239</v>
      </c>
      <c r="C75" s="17" t="s">
        <v>239</v>
      </c>
      <c r="D75" s="17" t="s">
        <v>65</v>
      </c>
      <c r="E75" s="17" t="str">
        <f aca="false">INDEX('Drug classes'!$B$2:$B$20,MATCH(D75,'Drug classes'!$A$2:$A$20,0))</f>
        <v>Broad anti-inflammatory</v>
      </c>
      <c r="F75" s="17" t="n">
        <v>3</v>
      </c>
      <c r="G75" s="17" t="n">
        <v>143</v>
      </c>
      <c r="H75" s="17" t="s">
        <v>89</v>
      </c>
      <c r="I75" s="2" t="s">
        <v>240</v>
      </c>
      <c r="J75" s="17" t="s">
        <v>91</v>
      </c>
      <c r="K75" s="17" t="s">
        <v>43</v>
      </c>
      <c r="L75" s="17" t="s">
        <v>38</v>
      </c>
      <c r="M75" s="2" t="s">
        <v>241</v>
      </c>
      <c r="N75" s="17" t="n">
        <v>8</v>
      </c>
      <c r="O75" s="17" t="str">
        <f aca="false">IF(N75="","Not reported",IF(N75&lt;=1,"Single dose",IF(N75&lt;=7,"2–7 days",IF(N75&lt;=28,"8–28 days",IF(N75&lt;=90,"1–3 months","&gt; 3 months")))))</f>
        <v>8–28 days</v>
      </c>
      <c r="P75" s="17" t="n">
        <v>14</v>
      </c>
      <c r="Q75" s="17" t="s">
        <v>93</v>
      </c>
      <c r="R75" s="17" t="s">
        <v>94</v>
      </c>
      <c r="S75" s="17" t="s">
        <v>94</v>
      </c>
      <c r="T75" s="17" t="str">
        <f aca="false">IF(AND(R75="yes",S75="yes"),"yes","no")</f>
        <v>yes</v>
      </c>
    </row>
    <row r="76" customFormat="false" ht="15" hidden="false" customHeight="false" outlineLevel="0" collapsed="false">
      <c r="A76" s="17" t="n">
        <v>75</v>
      </c>
      <c r="B76" s="17" t="s">
        <v>242</v>
      </c>
      <c r="C76" s="17" t="s">
        <v>242</v>
      </c>
      <c r="D76" s="17" t="s">
        <v>66</v>
      </c>
      <c r="E76" s="17" t="str">
        <f aca="false">INDEX('Drug classes'!$B$2:$B$20,MATCH(D76,'Drug classes'!$A$2:$A$20,0))</f>
        <v>Broad anti-inflammatory</v>
      </c>
      <c r="F76" s="17" t="n">
        <v>3</v>
      </c>
      <c r="G76" s="17" t="n">
        <v>146</v>
      </c>
      <c r="H76" s="17" t="s">
        <v>89</v>
      </c>
      <c r="I76" s="2" t="s">
        <v>121</v>
      </c>
      <c r="J76" s="17" t="s">
        <v>102</v>
      </c>
      <c r="K76" s="17" t="s">
        <v>42</v>
      </c>
      <c r="L76" s="17" t="s">
        <v>37</v>
      </c>
      <c r="M76" s="2" t="s">
        <v>243</v>
      </c>
      <c r="N76" s="17" t="n">
        <v>1</v>
      </c>
      <c r="O76" s="17" t="str">
        <f aca="false">IF(N76="","Not reported",IF(N76&lt;=1,"Single dose",IF(N76&lt;=7,"2–7 days",IF(N76&lt;=28,"8–28 days",IF(N76&lt;=90,"1–3 months","&gt; 3 months")))))</f>
        <v>Single dose</v>
      </c>
      <c r="P76" s="17" t="n">
        <v>7</v>
      </c>
      <c r="Q76" s="17" t="s">
        <v>93</v>
      </c>
      <c r="R76" s="17" t="s">
        <v>94</v>
      </c>
      <c r="S76" s="17" t="s">
        <v>94</v>
      </c>
      <c r="T76" s="17" t="str">
        <f aca="false">IF(AND(R76="yes",S76="yes"),"yes","no")</f>
        <v>yes</v>
      </c>
    </row>
    <row r="77" customFormat="false" ht="26.85" hidden="false" customHeight="false" outlineLevel="0" collapsed="false">
      <c r="A77" s="17" t="n">
        <v>76</v>
      </c>
      <c r="B77" s="17" t="s">
        <v>242</v>
      </c>
      <c r="C77" s="17" t="s">
        <v>242</v>
      </c>
      <c r="D77" s="17" t="s">
        <v>66</v>
      </c>
      <c r="E77" s="17" t="str">
        <f aca="false">INDEX('Drug classes'!$B$2:$B$20,MATCH(D77,'Drug classes'!$A$2:$A$20,0))</f>
        <v>Broad anti-inflammatory</v>
      </c>
      <c r="F77" s="17" t="n">
        <v>3</v>
      </c>
      <c r="G77" s="17" t="n">
        <v>147</v>
      </c>
      <c r="H77" s="17" t="s">
        <v>95</v>
      </c>
      <c r="I77" s="2" t="s">
        <v>142</v>
      </c>
      <c r="J77" s="17" t="s">
        <v>142</v>
      </c>
      <c r="K77" s="17" t="s">
        <v>43</v>
      </c>
      <c r="L77" s="17" t="s">
        <v>37</v>
      </c>
      <c r="M77" s="2" t="s">
        <v>244</v>
      </c>
      <c r="N77" s="17" t="n">
        <v>1</v>
      </c>
      <c r="O77" s="17" t="str">
        <f aca="false">IF(N77="","Not reported",IF(N77&lt;=1,"Single dose",IF(N77&lt;=7,"2–7 days",IF(N77&lt;=28,"8–28 days",IF(N77&lt;=90,"1–3 months","&gt; 3 months")))))</f>
        <v>Single dose</v>
      </c>
      <c r="P77" s="17" t="n">
        <v>21</v>
      </c>
      <c r="Q77" s="17" t="s">
        <v>136</v>
      </c>
      <c r="R77" s="17" t="s">
        <v>94</v>
      </c>
      <c r="S77" s="17" t="s">
        <v>94</v>
      </c>
      <c r="T77" s="17" t="str">
        <f aca="false">IF(AND(R77="yes",S77="yes"),"yes","no")</f>
        <v>yes</v>
      </c>
    </row>
    <row r="78" customFormat="false" ht="15" hidden="false" customHeight="false" outlineLevel="0" collapsed="false">
      <c r="A78" s="17" t="n">
        <v>77</v>
      </c>
      <c r="B78" s="17" t="s">
        <v>242</v>
      </c>
      <c r="C78" s="17" t="s">
        <v>242</v>
      </c>
      <c r="D78" s="17" t="s">
        <v>66</v>
      </c>
      <c r="E78" s="17" t="str">
        <f aca="false">INDEX('Drug classes'!$B$2:$B$20,MATCH(D78,'Drug classes'!$A$2:$A$20,0))</f>
        <v>Broad anti-inflammatory</v>
      </c>
      <c r="F78" s="17" t="n">
        <v>3</v>
      </c>
      <c r="G78" s="17" t="n">
        <v>148</v>
      </c>
      <c r="H78" s="17" t="s">
        <v>95</v>
      </c>
      <c r="I78" s="2" t="s">
        <v>96</v>
      </c>
      <c r="J78" s="17" t="s">
        <v>96</v>
      </c>
      <c r="K78" s="17" t="s">
        <v>42</v>
      </c>
      <c r="L78" s="17" t="s">
        <v>37</v>
      </c>
      <c r="M78" s="2" t="s">
        <v>243</v>
      </c>
      <c r="N78" s="17" t="n">
        <v>1</v>
      </c>
      <c r="O78" s="17" t="str">
        <f aca="false">IF(N78="","Not reported",IF(N78&lt;=1,"Single dose",IF(N78&lt;=7,"2–7 days",IF(N78&lt;=28,"8–28 days",IF(N78&lt;=90,"1–3 months","&gt; 3 months")))))</f>
        <v>Single dose</v>
      </c>
      <c r="P78" s="17" t="n">
        <v>21</v>
      </c>
      <c r="Q78" s="17" t="s">
        <v>93</v>
      </c>
      <c r="R78" s="17" t="s">
        <v>94</v>
      </c>
      <c r="S78" s="17" t="s">
        <v>94</v>
      </c>
      <c r="T78" s="17" t="str">
        <f aca="false">IF(AND(R78="yes",S78="yes"),"yes","no")</f>
        <v>yes</v>
      </c>
    </row>
    <row r="79" customFormat="false" ht="15" hidden="false" customHeight="false" outlineLevel="0" collapsed="false">
      <c r="A79" s="17" t="n">
        <v>78</v>
      </c>
      <c r="B79" s="17" t="s">
        <v>245</v>
      </c>
      <c r="C79" s="17" t="s">
        <v>245</v>
      </c>
      <c r="D79" s="17" t="s">
        <v>58</v>
      </c>
      <c r="E79" s="17" t="str">
        <f aca="false">INDEX('Drug classes'!$B$2:$B$20,MATCH(D79,'Drug classes'!$A$2:$A$20,0))</f>
        <v>IL-6 / JAK-STAT3</v>
      </c>
      <c r="F79" s="17" t="n">
        <v>2</v>
      </c>
      <c r="G79" s="17" t="n">
        <v>106</v>
      </c>
      <c r="H79" s="17" t="s">
        <v>89</v>
      </c>
      <c r="I79" s="2" t="s">
        <v>246</v>
      </c>
      <c r="J79" s="17" t="s">
        <v>102</v>
      </c>
      <c r="K79" s="17" t="s">
        <v>42</v>
      </c>
      <c r="L79" s="17" t="s">
        <v>37</v>
      </c>
      <c r="M79" s="2" t="s">
        <v>247</v>
      </c>
      <c r="N79" s="17" t="n">
        <v>3</v>
      </c>
      <c r="O79" s="17" t="str">
        <f aca="false">IF(N79="","Not reported",IF(N79&lt;=1,"Single dose",IF(N79&lt;=7,"2–7 days",IF(N79&lt;=28,"8–28 days",IF(N79&lt;=90,"1–3 months","&gt; 3 months")))))</f>
        <v>2–7 days</v>
      </c>
      <c r="P79" s="17" t="n">
        <v>3</v>
      </c>
      <c r="Q79" s="17" t="s">
        <v>93</v>
      </c>
      <c r="R79" s="17" t="s">
        <v>94</v>
      </c>
      <c r="S79" s="17" t="s">
        <v>94</v>
      </c>
      <c r="T79" s="17" t="str">
        <f aca="false">IF(AND(R79="yes",S79="yes"),"yes","no")</f>
        <v>yes</v>
      </c>
    </row>
    <row r="80" customFormat="false" ht="15" hidden="false" customHeight="false" outlineLevel="0" collapsed="false">
      <c r="A80" s="17" t="n">
        <v>79</v>
      </c>
      <c r="B80" s="17" t="s">
        <v>248</v>
      </c>
      <c r="C80" s="17" t="s">
        <v>248</v>
      </c>
      <c r="D80" s="17" t="s">
        <v>58</v>
      </c>
      <c r="E80" s="17" t="str">
        <f aca="false">INDEX('Drug classes'!$B$2:$B$20,MATCH(D80,'Drug classes'!$A$2:$A$20,0))</f>
        <v>IL-6 / JAK-STAT3</v>
      </c>
      <c r="F80" s="17" t="n">
        <v>2</v>
      </c>
      <c r="G80" s="17" t="n">
        <v>107</v>
      </c>
      <c r="H80" s="17" t="s">
        <v>89</v>
      </c>
      <c r="I80" s="2" t="s">
        <v>249</v>
      </c>
      <c r="J80" s="17" t="s">
        <v>113</v>
      </c>
      <c r="K80" s="17" t="s">
        <v>43</v>
      </c>
      <c r="L80" s="17" t="s">
        <v>37</v>
      </c>
      <c r="M80" s="2" t="s">
        <v>250</v>
      </c>
      <c r="N80" s="17" t="n">
        <v>7</v>
      </c>
      <c r="O80" s="17" t="str">
        <f aca="false">IF(N80="","Not reported",IF(N80&lt;=1,"Single dose",IF(N80&lt;=7,"2–7 days",IF(N80&lt;=28,"8–28 days",IF(N80&lt;=90,"1–3 months","&gt; 3 months")))))</f>
        <v>2–7 days</v>
      </c>
      <c r="P80" s="17" t="n">
        <v>7</v>
      </c>
      <c r="Q80" s="17" t="s">
        <v>129</v>
      </c>
      <c r="R80" s="17" t="s">
        <v>94</v>
      </c>
      <c r="S80" s="17" t="s">
        <v>94</v>
      </c>
      <c r="T80" s="17" t="str">
        <f aca="false">IF(AND(R80="yes",S80="yes"),"yes","no")</f>
        <v>yes</v>
      </c>
    </row>
    <row r="81" customFormat="false" ht="26.85" hidden="false" customHeight="false" outlineLevel="0" collapsed="false">
      <c r="A81" s="17" t="n">
        <v>80</v>
      </c>
      <c r="B81" s="17" t="s">
        <v>251</v>
      </c>
      <c r="C81" s="17" t="s">
        <v>251</v>
      </c>
      <c r="D81" s="17" t="s">
        <v>65</v>
      </c>
      <c r="E81" s="17" t="str">
        <f aca="false">INDEX('Drug classes'!$B$2:$B$20,MATCH(D81,'Drug classes'!$A$2:$A$20,0))</f>
        <v>Broad anti-inflammatory</v>
      </c>
      <c r="F81" s="17" t="n">
        <v>3</v>
      </c>
      <c r="G81" s="17" t="n">
        <v>144</v>
      </c>
      <c r="H81" s="17" t="s">
        <v>89</v>
      </c>
      <c r="I81" s="2" t="s">
        <v>121</v>
      </c>
      <c r="J81" s="17" t="s">
        <v>102</v>
      </c>
      <c r="K81" s="17" t="s">
        <v>42</v>
      </c>
      <c r="L81" s="17" t="s">
        <v>38</v>
      </c>
      <c r="M81" s="2" t="s">
        <v>252</v>
      </c>
      <c r="N81" s="17" t="n">
        <v>1</v>
      </c>
      <c r="O81" s="17" t="str">
        <f aca="false">IF(N81="","Not reported",IF(N81&lt;=1,"Single dose",IF(N81&lt;=7,"2–7 days",IF(N81&lt;=28,"8–28 days",IF(N81&lt;=90,"1–3 months","&gt; 3 months")))))</f>
        <v>Single dose</v>
      </c>
      <c r="P81" s="17"/>
      <c r="Q81" s="17" t="s">
        <v>93</v>
      </c>
      <c r="R81" s="17" t="s">
        <v>94</v>
      </c>
      <c r="S81" s="17" t="s">
        <v>94</v>
      </c>
      <c r="T81" s="17" t="str">
        <f aca="false">IF(AND(R81="yes",S81="yes"),"yes","no")</f>
        <v>yes</v>
      </c>
    </row>
    <row r="82" customFormat="false" ht="26.85" hidden="false" customHeight="false" outlineLevel="0" collapsed="false">
      <c r="A82" s="17" t="n">
        <v>81</v>
      </c>
      <c r="B82" s="17" t="s">
        <v>253</v>
      </c>
      <c r="C82" s="17" t="s">
        <v>253</v>
      </c>
      <c r="D82" s="17" t="s">
        <v>65</v>
      </c>
      <c r="E82" s="17" t="str">
        <f aca="false">INDEX('Drug classes'!$B$2:$B$20,MATCH(D82,'Drug classes'!$A$2:$A$20,0))</f>
        <v>Broad anti-inflammatory</v>
      </c>
      <c r="F82" s="17" t="n">
        <v>3</v>
      </c>
      <c r="G82" s="17" t="n">
        <v>145</v>
      </c>
      <c r="H82" s="17" t="s">
        <v>89</v>
      </c>
      <c r="I82" s="2" t="s">
        <v>121</v>
      </c>
      <c r="J82" s="17" t="s">
        <v>102</v>
      </c>
      <c r="K82" s="17" t="s">
        <v>42</v>
      </c>
      <c r="L82" s="17" t="s">
        <v>37</v>
      </c>
      <c r="M82" s="2" t="s">
        <v>254</v>
      </c>
      <c r="N82" s="17" t="n">
        <v>21</v>
      </c>
      <c r="O82" s="17" t="str">
        <f aca="false">IF(N82="","Not reported",IF(N82&lt;=1,"Single dose",IF(N82&lt;=7,"2–7 days",IF(N82&lt;=28,"8–28 days",IF(N82&lt;=90,"1–3 months","&gt; 3 months")))))</f>
        <v>8–28 days</v>
      </c>
      <c r="P82" s="17" t="n">
        <v>7</v>
      </c>
      <c r="Q82" s="17" t="s">
        <v>129</v>
      </c>
      <c r="R82" s="17" t="s">
        <v>94</v>
      </c>
      <c r="S82" s="17" t="s">
        <v>94</v>
      </c>
      <c r="T82" s="17" t="str">
        <f aca="false">IF(AND(R82="yes",S82="yes"),"yes","no")</f>
        <v>yes</v>
      </c>
    </row>
    <row r="83" customFormat="false" ht="15" hidden="false" customHeight="false" outlineLevel="0" collapsed="false">
      <c r="A83" s="17" t="n">
        <v>82</v>
      </c>
      <c r="B83" s="17" t="s">
        <v>157</v>
      </c>
      <c r="C83" s="17" t="s">
        <v>157</v>
      </c>
      <c r="D83" s="17" t="s">
        <v>53</v>
      </c>
      <c r="E83" s="17" t="str">
        <f aca="false">INDEX('Drug classes'!$B$2:$B$20,MATCH(D83,'Drug classes'!$A$2:$A$20,0))</f>
        <v>TNF / RIPK / MAPK</v>
      </c>
      <c r="F83" s="17" t="n">
        <v>2</v>
      </c>
      <c r="G83" s="17" t="n">
        <v>105</v>
      </c>
      <c r="H83" s="17" t="s">
        <v>95</v>
      </c>
      <c r="I83" s="2" t="s">
        <v>121</v>
      </c>
      <c r="J83" s="17" t="s">
        <v>102</v>
      </c>
      <c r="K83" s="17" t="s">
        <v>42</v>
      </c>
      <c r="L83" s="17" t="s">
        <v>37</v>
      </c>
      <c r="M83" s="2" t="s">
        <v>255</v>
      </c>
      <c r="N83" s="17" t="n">
        <v>28</v>
      </c>
      <c r="O83" s="17" t="str">
        <f aca="false">IF(N83="","Not reported",IF(N83&lt;=1,"Single dose",IF(N83&lt;=7,"2–7 days",IF(N83&lt;=28,"8–28 days",IF(N83&lt;=90,"1–3 months","&gt; 3 months")))))</f>
        <v>8–28 days</v>
      </c>
      <c r="P83" s="17" t="n">
        <v>28</v>
      </c>
      <c r="Q83" s="17" t="s">
        <v>93</v>
      </c>
      <c r="R83" s="17" t="s">
        <v>94</v>
      </c>
      <c r="S83" s="17" t="s">
        <v>94</v>
      </c>
      <c r="T83" s="17" t="str">
        <f aca="false">IF(AND(R83="yes",S83="yes"),"yes","no")</f>
        <v>yes</v>
      </c>
    </row>
  </sheetData>
  <autoFilter ref="A1:T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16"/>
    <col collapsed="false" customWidth="true" hidden="false" outlineLevel="0" max="4" min="4" style="0" width="24"/>
  </cols>
  <sheetData>
    <row r="1" customFormat="false" ht="26.85" hidden="false" customHeight="false" outlineLevel="0" collapsed="false">
      <c r="A1" s="6" t="s">
        <v>34</v>
      </c>
      <c r="B1" s="6" t="s">
        <v>72</v>
      </c>
      <c r="C1" s="6" t="s">
        <v>73</v>
      </c>
      <c r="D1" s="6" t="s">
        <v>256</v>
      </c>
    </row>
    <row r="2" customFormat="false" ht="15" hidden="false" customHeight="false" outlineLevel="0" collapsed="false">
      <c r="A2" s="7" t="s">
        <v>48</v>
      </c>
      <c r="B2" s="7" t="s">
        <v>257</v>
      </c>
      <c r="C2" s="7" t="n">
        <v>1</v>
      </c>
      <c r="D2" s="7" t="s">
        <v>258</v>
      </c>
    </row>
    <row r="3" customFormat="false" ht="15" hidden="false" customHeight="false" outlineLevel="0" collapsed="false">
      <c r="A3" s="7" t="s">
        <v>49</v>
      </c>
      <c r="B3" s="7" t="s">
        <v>259</v>
      </c>
      <c r="C3" s="7" t="n">
        <v>1</v>
      </c>
      <c r="D3" s="7" t="s">
        <v>258</v>
      </c>
    </row>
    <row r="4" customFormat="false" ht="15" hidden="false" customHeight="false" outlineLevel="0" collapsed="false">
      <c r="A4" s="7" t="s">
        <v>50</v>
      </c>
      <c r="B4" s="7" t="s">
        <v>260</v>
      </c>
      <c r="C4" s="7" t="n">
        <v>1</v>
      </c>
      <c r="D4" s="7" t="s">
        <v>258</v>
      </c>
    </row>
    <row r="5" customFormat="false" ht="15" hidden="false" customHeight="false" outlineLevel="0" collapsed="false">
      <c r="A5" s="7" t="s">
        <v>51</v>
      </c>
      <c r="B5" s="7" t="s">
        <v>257</v>
      </c>
      <c r="C5" s="7" t="n">
        <v>2</v>
      </c>
      <c r="D5" s="7" t="s">
        <v>261</v>
      </c>
    </row>
    <row r="6" customFormat="false" ht="15" hidden="false" customHeight="false" outlineLevel="0" collapsed="false">
      <c r="A6" s="7" t="s">
        <v>52</v>
      </c>
      <c r="B6" s="7" t="s">
        <v>257</v>
      </c>
      <c r="C6" s="7" t="n">
        <v>2</v>
      </c>
      <c r="D6" s="7" t="s">
        <v>261</v>
      </c>
    </row>
    <row r="7" customFormat="false" ht="15" hidden="false" customHeight="false" outlineLevel="0" collapsed="false">
      <c r="A7" s="7" t="s">
        <v>53</v>
      </c>
      <c r="B7" s="7" t="s">
        <v>257</v>
      </c>
      <c r="C7" s="7" t="n">
        <v>2</v>
      </c>
      <c r="D7" s="7" t="s">
        <v>261</v>
      </c>
    </row>
    <row r="8" customFormat="false" ht="15" hidden="false" customHeight="false" outlineLevel="0" collapsed="false">
      <c r="A8" s="7" t="s">
        <v>54</v>
      </c>
      <c r="B8" s="7" t="s">
        <v>259</v>
      </c>
      <c r="C8" s="7" t="n">
        <v>2</v>
      </c>
      <c r="D8" s="7" t="s">
        <v>261</v>
      </c>
    </row>
    <row r="9" customFormat="false" ht="15" hidden="false" customHeight="false" outlineLevel="0" collapsed="false">
      <c r="A9" s="7" t="s">
        <v>55</v>
      </c>
      <c r="B9" s="7" t="s">
        <v>259</v>
      </c>
      <c r="C9" s="7" t="n">
        <v>2</v>
      </c>
      <c r="D9" s="7" t="s">
        <v>261</v>
      </c>
    </row>
    <row r="10" customFormat="false" ht="15" hidden="false" customHeight="false" outlineLevel="0" collapsed="false">
      <c r="A10" s="7" t="s">
        <v>56</v>
      </c>
      <c r="B10" s="7" t="s">
        <v>262</v>
      </c>
      <c r="C10" s="7" t="n">
        <v>2</v>
      </c>
      <c r="D10" s="7" t="s">
        <v>261</v>
      </c>
    </row>
    <row r="11" customFormat="false" ht="15" hidden="false" customHeight="false" outlineLevel="0" collapsed="false">
      <c r="A11" s="7" t="s">
        <v>57</v>
      </c>
      <c r="B11" s="7" t="s">
        <v>262</v>
      </c>
      <c r="C11" s="7" t="n">
        <v>2</v>
      </c>
      <c r="D11" s="7" t="s">
        <v>261</v>
      </c>
    </row>
    <row r="12" customFormat="false" ht="15" hidden="false" customHeight="false" outlineLevel="0" collapsed="false">
      <c r="A12" s="7" t="s">
        <v>58</v>
      </c>
      <c r="B12" s="7" t="s">
        <v>260</v>
      </c>
      <c r="C12" s="7" t="n">
        <v>2</v>
      </c>
      <c r="D12" s="7" t="s">
        <v>261</v>
      </c>
    </row>
    <row r="13" customFormat="false" ht="15" hidden="false" customHeight="false" outlineLevel="0" collapsed="false">
      <c r="A13" s="7" t="s">
        <v>59</v>
      </c>
      <c r="B13" s="7" t="s">
        <v>263</v>
      </c>
      <c r="C13" s="7" t="n">
        <v>3</v>
      </c>
      <c r="D13" s="7" t="s">
        <v>264</v>
      </c>
    </row>
    <row r="14" customFormat="false" ht="15" hidden="false" customHeight="false" outlineLevel="0" collapsed="false">
      <c r="A14" s="7" t="s">
        <v>60</v>
      </c>
      <c r="B14" s="7" t="s">
        <v>263</v>
      </c>
      <c r="C14" s="7" t="n">
        <v>3</v>
      </c>
      <c r="D14" s="7" t="s">
        <v>264</v>
      </c>
    </row>
    <row r="15" customFormat="false" ht="15" hidden="false" customHeight="false" outlineLevel="0" collapsed="false">
      <c r="A15" s="7" t="s">
        <v>61</v>
      </c>
      <c r="B15" s="7" t="s">
        <v>263</v>
      </c>
      <c r="C15" s="7" t="n">
        <v>3</v>
      </c>
      <c r="D15" s="7" t="s">
        <v>264</v>
      </c>
    </row>
    <row r="16" customFormat="false" ht="15" hidden="false" customHeight="false" outlineLevel="0" collapsed="false">
      <c r="A16" s="7" t="s">
        <v>62</v>
      </c>
      <c r="B16" s="7" t="s">
        <v>263</v>
      </c>
      <c r="C16" s="7" t="n">
        <v>3</v>
      </c>
      <c r="D16" s="7" t="s">
        <v>264</v>
      </c>
    </row>
    <row r="17" customFormat="false" ht="15" hidden="false" customHeight="false" outlineLevel="0" collapsed="false">
      <c r="A17" s="7" t="s">
        <v>63</v>
      </c>
      <c r="B17" s="7" t="s">
        <v>263</v>
      </c>
      <c r="C17" s="7" t="n">
        <v>3</v>
      </c>
      <c r="D17" s="7" t="s">
        <v>264</v>
      </c>
    </row>
    <row r="18" customFormat="false" ht="15" hidden="false" customHeight="false" outlineLevel="0" collapsed="false">
      <c r="A18" s="7" t="s">
        <v>64</v>
      </c>
      <c r="B18" s="7" t="s">
        <v>263</v>
      </c>
      <c r="C18" s="7" t="n">
        <v>3</v>
      </c>
      <c r="D18" s="7" t="s">
        <v>264</v>
      </c>
    </row>
    <row r="19" customFormat="false" ht="15" hidden="false" customHeight="false" outlineLevel="0" collapsed="false">
      <c r="A19" s="7" t="s">
        <v>65</v>
      </c>
      <c r="B19" s="7" t="s">
        <v>263</v>
      </c>
      <c r="C19" s="7" t="n">
        <v>3</v>
      </c>
      <c r="D19" s="7" t="s">
        <v>264</v>
      </c>
    </row>
    <row r="20" customFormat="false" ht="15" hidden="false" customHeight="false" outlineLevel="0" collapsed="false">
      <c r="A20" s="7" t="s">
        <v>66</v>
      </c>
      <c r="B20" s="7" t="s">
        <v>263</v>
      </c>
      <c r="C20" s="7" t="n">
        <v>3</v>
      </c>
      <c r="D20" s="7"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0"/>
    <col collapsed="false" customWidth="true" hidden="false" outlineLevel="0" max="4" min="4" style="0" width="60"/>
    <col collapsed="false" customWidth="true" hidden="false" outlineLevel="0" max="5" min="5" style="0" width="30"/>
    <col collapsed="false" customWidth="true" hidden="false" outlineLevel="0" max="6" min="6" style="0" width="7"/>
    <col collapsed="false" customWidth="true" hidden="false" outlineLevel="0" max="7" min="7" style="0" width="36"/>
    <col collapsed="false" customWidth="true" hidden="false" outlineLevel="0" max="8" min="8" style="0" width="12"/>
    <col collapsed="false" customWidth="true" hidden="false" outlineLevel="0" max="9" min="9" style="0" width="90"/>
  </cols>
  <sheetData>
    <row r="1" customFormat="false" ht="39.55" hidden="false" customHeight="false" outlineLevel="0" collapsed="false">
      <c r="A1" s="6" t="s">
        <v>265</v>
      </c>
      <c r="B1" s="6" t="s">
        <v>266</v>
      </c>
      <c r="C1" s="6" t="s">
        <v>267</v>
      </c>
      <c r="D1" s="6" t="s">
        <v>268</v>
      </c>
      <c r="E1" s="6" t="s">
        <v>269</v>
      </c>
      <c r="F1" s="6" t="s">
        <v>270</v>
      </c>
      <c r="G1" s="6" t="s">
        <v>271</v>
      </c>
      <c r="H1" s="6" t="s">
        <v>272</v>
      </c>
      <c r="I1" s="6" t="s">
        <v>273</v>
      </c>
    </row>
    <row r="2" customFormat="false" ht="39.55" hidden="false" customHeight="false" outlineLevel="0" collapsed="false">
      <c r="A2" s="17" t="n">
        <v>49</v>
      </c>
      <c r="B2" s="17" t="s">
        <v>274</v>
      </c>
      <c r="C2" s="2" t="s">
        <v>275</v>
      </c>
      <c r="D2" s="2" t="s">
        <v>276</v>
      </c>
      <c r="E2" s="17" t="s">
        <v>277</v>
      </c>
      <c r="F2" s="17" t="n">
        <v>2015</v>
      </c>
      <c r="G2" s="17" t="s">
        <v>278</v>
      </c>
      <c r="H2" s="17" t="n">
        <f aca="false">COUNTIFS(Experiments!$G$2:$G$83,A2,Experiments!$T$2:$T$83,"yes")</f>
        <v>1</v>
      </c>
      <c r="I2" s="2" t="s">
        <v>279</v>
      </c>
    </row>
    <row r="3" customFormat="false" ht="39.55" hidden="false" customHeight="false" outlineLevel="0" collapsed="false">
      <c r="A3" s="17" t="n">
        <v>55</v>
      </c>
      <c r="B3" s="17" t="s">
        <v>280</v>
      </c>
      <c r="C3" s="2" t="s">
        <v>281</v>
      </c>
      <c r="D3" s="2" t="s">
        <v>282</v>
      </c>
      <c r="E3" s="17" t="s">
        <v>283</v>
      </c>
      <c r="F3" s="17" t="n">
        <v>2012</v>
      </c>
      <c r="G3" s="17" t="s">
        <v>284</v>
      </c>
      <c r="H3" s="17" t="n">
        <f aca="false">COUNTIFS(Experiments!$G$2:$G$83,A3,Experiments!$T$2:$T$83,"yes")</f>
        <v>1</v>
      </c>
      <c r="I3" s="2" t="s">
        <v>285</v>
      </c>
    </row>
    <row r="4" customFormat="false" ht="39.55" hidden="false" customHeight="false" outlineLevel="0" collapsed="false">
      <c r="A4" s="17" t="n">
        <v>56</v>
      </c>
      <c r="B4" s="17" t="s">
        <v>286</v>
      </c>
      <c r="C4" s="2" t="s">
        <v>287</v>
      </c>
      <c r="D4" s="2" t="s">
        <v>288</v>
      </c>
      <c r="E4" s="17" t="s">
        <v>289</v>
      </c>
      <c r="F4" s="17" t="n">
        <v>2018</v>
      </c>
      <c r="G4" s="17" t="s">
        <v>290</v>
      </c>
      <c r="H4" s="17" t="n">
        <f aca="false">COUNTIFS(Experiments!$G$2:$G$83,A4,Experiments!$T$2:$T$83,"yes")</f>
        <v>1</v>
      </c>
      <c r="I4" s="2" t="s">
        <v>291</v>
      </c>
    </row>
    <row r="5" customFormat="false" ht="26.85" hidden="false" customHeight="false" outlineLevel="0" collapsed="false">
      <c r="A5" s="17" t="n">
        <v>57</v>
      </c>
      <c r="B5" s="17" t="s">
        <v>292</v>
      </c>
      <c r="C5" s="2" t="s">
        <v>293</v>
      </c>
      <c r="D5" s="2" t="s">
        <v>294</v>
      </c>
      <c r="E5" s="17" t="s">
        <v>295</v>
      </c>
      <c r="F5" s="17" t="n">
        <v>2016</v>
      </c>
      <c r="G5" s="17" t="s">
        <v>296</v>
      </c>
      <c r="H5" s="17" t="n">
        <f aca="false">COUNTIFS(Experiments!$G$2:$G$83,A5,Experiments!$T$2:$T$83,"yes")</f>
        <v>1</v>
      </c>
      <c r="I5" s="2" t="s">
        <v>297</v>
      </c>
    </row>
    <row r="6" customFormat="false" ht="26.85" hidden="false" customHeight="false" outlineLevel="0" collapsed="false">
      <c r="A6" s="17" t="n">
        <v>58</v>
      </c>
      <c r="B6" s="17" t="s">
        <v>298</v>
      </c>
      <c r="C6" s="2" t="s">
        <v>299</v>
      </c>
      <c r="D6" s="2" t="s">
        <v>300</v>
      </c>
      <c r="E6" s="17" t="s">
        <v>301</v>
      </c>
      <c r="F6" s="17" t="n">
        <v>2014</v>
      </c>
      <c r="G6" s="17" t="s">
        <v>302</v>
      </c>
      <c r="H6" s="17" t="n">
        <f aca="false">COUNTIFS(Experiments!$G$2:$G$83,A6,Experiments!$T$2:$T$83,"yes")</f>
        <v>1</v>
      </c>
      <c r="I6" s="2" t="s">
        <v>303</v>
      </c>
    </row>
    <row r="7" customFormat="false" ht="26.85" hidden="false" customHeight="false" outlineLevel="0" collapsed="false">
      <c r="A7" s="17" t="n">
        <v>59</v>
      </c>
      <c r="B7" s="17" t="s">
        <v>304</v>
      </c>
      <c r="C7" s="2" t="s">
        <v>305</v>
      </c>
      <c r="D7" s="2" t="s">
        <v>306</v>
      </c>
      <c r="E7" s="17" t="s">
        <v>307</v>
      </c>
      <c r="F7" s="17" t="n">
        <v>2017</v>
      </c>
      <c r="G7" s="17" t="s">
        <v>308</v>
      </c>
      <c r="H7" s="17" t="n">
        <f aca="false">COUNTIFS(Experiments!$G$2:$G$83,A7,Experiments!$T$2:$T$83,"yes")</f>
        <v>2</v>
      </c>
      <c r="I7" s="2" t="s">
        <v>309</v>
      </c>
    </row>
    <row r="8" customFormat="false" ht="39.55" hidden="false" customHeight="false" outlineLevel="0" collapsed="false">
      <c r="A8" s="17" t="n">
        <v>60</v>
      </c>
      <c r="B8" s="17" t="s">
        <v>310</v>
      </c>
      <c r="C8" s="2" t="s">
        <v>311</v>
      </c>
      <c r="D8" s="2" t="s">
        <v>312</v>
      </c>
      <c r="E8" s="17" t="s">
        <v>313</v>
      </c>
      <c r="F8" s="17" t="n">
        <v>2024</v>
      </c>
      <c r="G8" s="17" t="s">
        <v>314</v>
      </c>
      <c r="H8" s="17" t="n">
        <f aca="false">COUNTIFS(Experiments!$G$2:$G$83,A8,Experiments!$T$2:$T$83,"yes")</f>
        <v>1</v>
      </c>
      <c r="I8" s="2" t="s">
        <v>315</v>
      </c>
    </row>
    <row r="9" customFormat="false" ht="39.55" hidden="false" customHeight="false" outlineLevel="0" collapsed="false">
      <c r="A9" s="17" t="n">
        <v>62</v>
      </c>
      <c r="B9" s="17" t="s">
        <v>316</v>
      </c>
      <c r="C9" s="2" t="s">
        <v>317</v>
      </c>
      <c r="D9" s="2" t="s">
        <v>318</v>
      </c>
      <c r="E9" s="17" t="s">
        <v>319</v>
      </c>
      <c r="F9" s="17" t="n">
        <v>2019</v>
      </c>
      <c r="G9" s="17" t="s">
        <v>320</v>
      </c>
      <c r="H9" s="17" t="n">
        <f aca="false">COUNTIFS(Experiments!$G$2:$G$83,A9,Experiments!$T$2:$T$83,"yes")</f>
        <v>3</v>
      </c>
      <c r="I9" s="2" t="s">
        <v>321</v>
      </c>
    </row>
    <row r="10" customFormat="false" ht="26.85" hidden="false" customHeight="false" outlineLevel="0" collapsed="false">
      <c r="A10" s="17" t="n">
        <v>71</v>
      </c>
      <c r="B10" s="17" t="s">
        <v>322</v>
      </c>
      <c r="C10" s="2" t="s">
        <v>323</v>
      </c>
      <c r="D10" s="2" t="s">
        <v>324</v>
      </c>
      <c r="E10" s="17" t="s">
        <v>325</v>
      </c>
      <c r="F10" s="17" t="n">
        <v>2001</v>
      </c>
      <c r="G10" s="17" t="s">
        <v>326</v>
      </c>
      <c r="H10" s="17" t="n">
        <f aca="false">COUNTIFS(Experiments!$G$2:$G$83,A10,Experiments!$T$2:$T$83,"yes")</f>
        <v>1</v>
      </c>
      <c r="I10" s="2" t="s">
        <v>327</v>
      </c>
    </row>
    <row r="11" customFormat="false" ht="39.55" hidden="false" customHeight="false" outlineLevel="0" collapsed="false">
      <c r="A11" s="17" t="n">
        <v>72</v>
      </c>
      <c r="B11" s="17" t="s">
        <v>328</v>
      </c>
      <c r="C11" s="2" t="s">
        <v>329</v>
      </c>
      <c r="D11" s="2" t="s">
        <v>330</v>
      </c>
      <c r="E11" s="17" t="s">
        <v>331</v>
      </c>
      <c r="F11" s="17" t="n">
        <v>2020</v>
      </c>
      <c r="G11" s="17" t="s">
        <v>332</v>
      </c>
      <c r="H11" s="17" t="n">
        <f aca="false">COUNTIFS(Experiments!$G$2:$G$83,A11,Experiments!$T$2:$T$83,"yes")</f>
        <v>1</v>
      </c>
      <c r="I11" s="2" t="s">
        <v>333</v>
      </c>
    </row>
    <row r="12" customFormat="false" ht="39.55" hidden="false" customHeight="false" outlineLevel="0" collapsed="false">
      <c r="A12" s="17" t="n">
        <v>80</v>
      </c>
      <c r="B12" s="17" t="s">
        <v>334</v>
      </c>
      <c r="C12" s="2" t="s">
        <v>335</v>
      </c>
      <c r="D12" s="2" t="s">
        <v>336</v>
      </c>
      <c r="E12" s="17" t="s">
        <v>337</v>
      </c>
      <c r="F12" s="17" t="n">
        <v>2020</v>
      </c>
      <c r="G12" s="17" t="s">
        <v>338</v>
      </c>
      <c r="H12" s="17" t="n">
        <f aca="false">COUNTIFS(Experiments!$G$2:$G$83,A12,Experiments!$T$2:$T$83,"yes")</f>
        <v>1</v>
      </c>
      <c r="I12" s="2" t="s">
        <v>339</v>
      </c>
    </row>
    <row r="13" customFormat="false" ht="39.55" hidden="false" customHeight="false" outlineLevel="0" collapsed="false">
      <c r="A13" s="17" t="n">
        <v>83</v>
      </c>
      <c r="B13" s="17" t="s">
        <v>340</v>
      </c>
      <c r="C13" s="2" t="s">
        <v>341</v>
      </c>
      <c r="D13" s="2" t="s">
        <v>342</v>
      </c>
      <c r="E13" s="17" t="s">
        <v>343</v>
      </c>
      <c r="F13" s="17" t="n">
        <v>2017</v>
      </c>
      <c r="G13" s="17" t="s">
        <v>344</v>
      </c>
      <c r="H13" s="17" t="n">
        <f aca="false">COUNTIFS(Experiments!$G$2:$G$83,A13,Experiments!$T$2:$T$83,"yes")</f>
        <v>2</v>
      </c>
      <c r="I13" s="2" t="s">
        <v>345</v>
      </c>
    </row>
    <row r="14" customFormat="false" ht="39.55" hidden="false" customHeight="false" outlineLevel="0" collapsed="false">
      <c r="A14" s="17" t="n">
        <v>84</v>
      </c>
      <c r="B14" s="17" t="s">
        <v>346</v>
      </c>
      <c r="C14" s="2" t="s">
        <v>347</v>
      </c>
      <c r="D14" s="2" t="s">
        <v>348</v>
      </c>
      <c r="E14" s="17" t="s">
        <v>349</v>
      </c>
      <c r="F14" s="17" t="n">
        <v>2023</v>
      </c>
      <c r="G14" s="17" t="s">
        <v>350</v>
      </c>
      <c r="H14" s="17" t="n">
        <f aca="false">COUNTIFS(Experiments!$G$2:$G$83,A14,Experiments!$T$2:$T$83,"yes")</f>
        <v>1</v>
      </c>
      <c r="I14" s="2" t="s">
        <v>351</v>
      </c>
    </row>
    <row r="15" customFormat="false" ht="39.55" hidden="false" customHeight="false" outlineLevel="0" collapsed="false">
      <c r="A15" s="17" t="n">
        <v>85</v>
      </c>
      <c r="B15" s="17" t="s">
        <v>352</v>
      </c>
      <c r="C15" s="2" t="s">
        <v>353</v>
      </c>
      <c r="D15" s="2" t="s">
        <v>354</v>
      </c>
      <c r="E15" s="17" t="s">
        <v>355</v>
      </c>
      <c r="F15" s="17" t="n">
        <v>2018</v>
      </c>
      <c r="G15" s="17" t="s">
        <v>356</v>
      </c>
      <c r="H15" s="17" t="n">
        <f aca="false">COUNTIFS(Experiments!$G$2:$G$83,A15,Experiments!$T$2:$T$83,"yes")</f>
        <v>1</v>
      </c>
      <c r="I15" s="2" t="s">
        <v>357</v>
      </c>
    </row>
    <row r="16" customFormat="false" ht="39.55" hidden="false" customHeight="false" outlineLevel="0" collapsed="false">
      <c r="A16" s="17" t="n">
        <v>86</v>
      </c>
      <c r="B16" s="17" t="s">
        <v>358</v>
      </c>
      <c r="C16" s="2" t="s">
        <v>359</v>
      </c>
      <c r="D16" s="2" t="s">
        <v>360</v>
      </c>
      <c r="E16" s="17" t="s">
        <v>361</v>
      </c>
      <c r="F16" s="17" t="n">
        <v>2020</v>
      </c>
      <c r="G16" s="17" t="s">
        <v>362</v>
      </c>
      <c r="H16" s="17" t="n">
        <f aca="false">COUNTIFS(Experiments!$G$2:$G$83,A16,Experiments!$T$2:$T$83,"yes")</f>
        <v>1</v>
      </c>
      <c r="I16" s="2" t="s">
        <v>363</v>
      </c>
    </row>
    <row r="17" customFormat="false" ht="52.2" hidden="false" customHeight="false" outlineLevel="0" collapsed="false">
      <c r="A17" s="17" t="n">
        <v>87</v>
      </c>
      <c r="B17" s="17" t="s">
        <v>364</v>
      </c>
      <c r="C17" s="2" t="s">
        <v>365</v>
      </c>
      <c r="D17" s="2" t="s">
        <v>366</v>
      </c>
      <c r="E17" s="17" t="s">
        <v>367</v>
      </c>
      <c r="F17" s="17" t="n">
        <v>2025</v>
      </c>
      <c r="G17" s="17" t="s">
        <v>368</v>
      </c>
      <c r="H17" s="17" t="n">
        <f aca="false">COUNTIFS(Experiments!$G$2:$G$83,A17,Experiments!$T$2:$T$83,"yes")</f>
        <v>1</v>
      </c>
      <c r="I17" s="2" t="s">
        <v>369</v>
      </c>
    </row>
    <row r="18" customFormat="false" ht="39.55" hidden="false" customHeight="false" outlineLevel="0" collapsed="false">
      <c r="A18" s="17" t="n">
        <v>88</v>
      </c>
      <c r="B18" s="17" t="s">
        <v>370</v>
      </c>
      <c r="C18" s="2" t="s">
        <v>371</v>
      </c>
      <c r="D18" s="2" t="s">
        <v>372</v>
      </c>
      <c r="E18" s="17" t="s">
        <v>373</v>
      </c>
      <c r="F18" s="17" t="n">
        <v>2020</v>
      </c>
      <c r="G18" s="17" t="s">
        <v>374</v>
      </c>
      <c r="H18" s="17" t="n">
        <f aca="false">COUNTIFS(Experiments!$G$2:$G$83,A18,Experiments!$T$2:$T$83,"yes")</f>
        <v>2</v>
      </c>
      <c r="I18" s="2" t="s">
        <v>375</v>
      </c>
    </row>
    <row r="19" customFormat="false" ht="39.55" hidden="false" customHeight="false" outlineLevel="0" collapsed="false">
      <c r="A19" s="17" t="n">
        <v>90</v>
      </c>
      <c r="B19" s="17" t="s">
        <v>376</v>
      </c>
      <c r="C19" s="2" t="s">
        <v>377</v>
      </c>
      <c r="D19" s="2" t="s">
        <v>378</v>
      </c>
      <c r="E19" s="17" t="s">
        <v>379</v>
      </c>
      <c r="F19" s="17" t="n">
        <v>2018</v>
      </c>
      <c r="G19" s="17" t="s">
        <v>380</v>
      </c>
      <c r="H19" s="17" t="n">
        <f aca="false">COUNTIFS(Experiments!$G$2:$G$83,A19,Experiments!$T$2:$T$83,"yes")</f>
        <v>1</v>
      </c>
      <c r="I19" s="2" t="s">
        <v>381</v>
      </c>
    </row>
    <row r="20" customFormat="false" ht="26.85" hidden="false" customHeight="false" outlineLevel="0" collapsed="false">
      <c r="A20" s="17" t="n">
        <v>91</v>
      </c>
      <c r="B20" s="17" t="s">
        <v>382</v>
      </c>
      <c r="C20" s="2" t="s">
        <v>383</v>
      </c>
      <c r="D20" s="2" t="s">
        <v>384</v>
      </c>
      <c r="E20" s="17" t="s">
        <v>385</v>
      </c>
      <c r="F20" s="17" t="n">
        <v>2013</v>
      </c>
      <c r="G20" s="17" t="s">
        <v>386</v>
      </c>
      <c r="H20" s="17" t="n">
        <f aca="false">COUNTIFS(Experiments!$G$2:$G$83,A20,Experiments!$T$2:$T$83,"yes")</f>
        <v>1</v>
      </c>
      <c r="I20" s="2" t="s">
        <v>387</v>
      </c>
    </row>
    <row r="21" customFormat="false" ht="39.55" hidden="false" customHeight="false" outlineLevel="0" collapsed="false">
      <c r="A21" s="17" t="n">
        <v>92</v>
      </c>
      <c r="B21" s="17" t="s">
        <v>388</v>
      </c>
      <c r="C21" s="2" t="s">
        <v>389</v>
      </c>
      <c r="D21" s="2" t="s">
        <v>390</v>
      </c>
      <c r="E21" s="17" t="s">
        <v>391</v>
      </c>
      <c r="F21" s="17" t="n">
        <v>2025</v>
      </c>
      <c r="G21" s="17" t="s">
        <v>392</v>
      </c>
      <c r="H21" s="17" t="n">
        <f aca="false">COUNTIFS(Experiments!$G$2:$G$83,A21,Experiments!$T$2:$T$83,"yes")</f>
        <v>1</v>
      </c>
      <c r="I21" s="2" t="s">
        <v>393</v>
      </c>
    </row>
    <row r="22" customFormat="false" ht="39.55" hidden="false" customHeight="false" outlineLevel="0" collapsed="false">
      <c r="A22" s="17" t="n">
        <v>93</v>
      </c>
      <c r="B22" s="17" t="s">
        <v>394</v>
      </c>
      <c r="C22" s="2" t="s">
        <v>395</v>
      </c>
      <c r="D22" s="2" t="s">
        <v>396</v>
      </c>
      <c r="E22" s="17" t="s">
        <v>397</v>
      </c>
      <c r="F22" s="17" t="n">
        <v>2022</v>
      </c>
      <c r="G22" s="17" t="s">
        <v>398</v>
      </c>
      <c r="H22" s="17" t="n">
        <f aca="false">COUNTIFS(Experiments!$G$2:$G$83,A22,Experiments!$T$2:$T$83,"yes")</f>
        <v>1</v>
      </c>
      <c r="I22" s="2" t="s">
        <v>399</v>
      </c>
    </row>
    <row r="23" customFormat="false" ht="39.55" hidden="false" customHeight="false" outlineLevel="0" collapsed="false">
      <c r="A23" s="17" t="n">
        <v>94</v>
      </c>
      <c r="B23" s="17" t="s">
        <v>400</v>
      </c>
      <c r="C23" s="2" t="s">
        <v>401</v>
      </c>
      <c r="D23" s="2" t="s">
        <v>402</v>
      </c>
      <c r="E23" s="17" t="s">
        <v>403</v>
      </c>
      <c r="F23" s="17" t="n">
        <v>2024</v>
      </c>
      <c r="G23" s="17" t="s">
        <v>404</v>
      </c>
      <c r="H23" s="17" t="n">
        <f aca="false">COUNTIFS(Experiments!$G$2:$G$83,A23,Experiments!$T$2:$T$83,"yes")</f>
        <v>2</v>
      </c>
      <c r="I23" s="2" t="s">
        <v>405</v>
      </c>
    </row>
    <row r="24" customFormat="false" ht="39.55" hidden="false" customHeight="false" outlineLevel="0" collapsed="false">
      <c r="A24" s="17" t="n">
        <v>95</v>
      </c>
      <c r="B24" s="17" t="s">
        <v>406</v>
      </c>
      <c r="C24" s="2" t="s">
        <v>407</v>
      </c>
      <c r="D24" s="2" t="s">
        <v>408</v>
      </c>
      <c r="E24" s="17" t="s">
        <v>343</v>
      </c>
      <c r="F24" s="17" t="n">
        <v>2017</v>
      </c>
      <c r="G24" s="17" t="s">
        <v>409</v>
      </c>
      <c r="H24" s="17" t="n">
        <f aca="false">COUNTIFS(Experiments!$G$2:$G$83,A24,Experiments!$T$2:$T$83,"yes")</f>
        <v>2</v>
      </c>
      <c r="I24" s="2" t="s">
        <v>410</v>
      </c>
    </row>
    <row r="25" customFormat="false" ht="26.85" hidden="false" customHeight="false" outlineLevel="0" collapsed="false">
      <c r="A25" s="17" t="n">
        <v>96</v>
      </c>
      <c r="B25" s="17" t="s">
        <v>411</v>
      </c>
      <c r="C25" s="2" t="s">
        <v>412</v>
      </c>
      <c r="D25" s="2" t="s">
        <v>413</v>
      </c>
      <c r="E25" s="17" t="s">
        <v>414</v>
      </c>
      <c r="F25" s="17" t="n">
        <v>2023</v>
      </c>
      <c r="G25" s="17" t="s">
        <v>415</v>
      </c>
      <c r="H25" s="17" t="n">
        <f aca="false">COUNTIFS(Experiments!$G$2:$G$83,A25,Experiments!$T$2:$T$83,"yes")</f>
        <v>1</v>
      </c>
      <c r="I25" s="2" t="s">
        <v>416</v>
      </c>
    </row>
    <row r="26" customFormat="false" ht="39.55" hidden="false" customHeight="false" outlineLevel="0" collapsed="false">
      <c r="A26" s="17" t="n">
        <v>97</v>
      </c>
      <c r="B26" s="17" t="s">
        <v>417</v>
      </c>
      <c r="C26" s="2" t="s">
        <v>418</v>
      </c>
      <c r="D26" s="2" t="s">
        <v>419</v>
      </c>
      <c r="E26" s="17" t="s">
        <v>420</v>
      </c>
      <c r="F26" s="17" t="n">
        <v>2020</v>
      </c>
      <c r="G26" s="17" t="s">
        <v>421</v>
      </c>
      <c r="H26" s="17" t="n">
        <f aca="false">COUNTIFS(Experiments!$G$2:$G$83,A26,Experiments!$T$2:$T$83,"yes")</f>
        <v>1</v>
      </c>
      <c r="I26" s="2" t="s">
        <v>422</v>
      </c>
    </row>
    <row r="27" customFormat="false" ht="39.55" hidden="false" customHeight="false" outlineLevel="0" collapsed="false">
      <c r="A27" s="17" t="n">
        <v>98</v>
      </c>
      <c r="B27" s="17" t="s">
        <v>423</v>
      </c>
      <c r="C27" s="2" t="s">
        <v>424</v>
      </c>
      <c r="D27" s="2" t="s">
        <v>425</v>
      </c>
      <c r="E27" s="17" t="s">
        <v>426</v>
      </c>
      <c r="F27" s="17" t="n">
        <v>2024</v>
      </c>
      <c r="G27" s="17" t="s">
        <v>427</v>
      </c>
      <c r="H27" s="17" t="n">
        <f aca="false">COUNTIFS(Experiments!$G$2:$G$83,A27,Experiments!$T$2:$T$83,"yes")</f>
        <v>1</v>
      </c>
      <c r="I27" s="2" t="s">
        <v>428</v>
      </c>
    </row>
    <row r="28" customFormat="false" ht="39.55" hidden="false" customHeight="false" outlineLevel="0" collapsed="false">
      <c r="A28" s="17" t="n">
        <v>100</v>
      </c>
      <c r="B28" s="17" t="s">
        <v>429</v>
      </c>
      <c r="C28" s="2" t="s">
        <v>430</v>
      </c>
      <c r="D28" s="2" t="s">
        <v>431</v>
      </c>
      <c r="E28" s="17" t="s">
        <v>373</v>
      </c>
      <c r="F28" s="17" t="n">
        <v>2024</v>
      </c>
      <c r="G28" s="17" t="s">
        <v>432</v>
      </c>
      <c r="H28" s="17" t="n">
        <f aca="false">COUNTIFS(Experiments!$G$2:$G$83,A28,Experiments!$T$2:$T$83,"yes")</f>
        <v>1</v>
      </c>
      <c r="I28" s="2" t="s">
        <v>433</v>
      </c>
    </row>
    <row r="29" customFormat="false" ht="39.55" hidden="false" customHeight="false" outlineLevel="0" collapsed="false">
      <c r="A29" s="17" t="n">
        <v>101</v>
      </c>
      <c r="B29" s="17" t="s">
        <v>434</v>
      </c>
      <c r="C29" s="2" t="s">
        <v>435</v>
      </c>
      <c r="D29" s="2" t="s">
        <v>436</v>
      </c>
      <c r="E29" s="17" t="s">
        <v>437</v>
      </c>
      <c r="F29" s="17" t="n">
        <v>2022</v>
      </c>
      <c r="G29" s="17" t="s">
        <v>438</v>
      </c>
      <c r="H29" s="17" t="n">
        <f aca="false">COUNTIFS(Experiments!$G$2:$G$83,A29,Experiments!$T$2:$T$83,"yes")</f>
        <v>2</v>
      </c>
      <c r="I29" s="2" t="s">
        <v>439</v>
      </c>
    </row>
    <row r="30" customFormat="false" ht="39.55" hidden="false" customHeight="false" outlineLevel="0" collapsed="false">
      <c r="A30" s="17" t="n">
        <v>102</v>
      </c>
      <c r="B30" s="17" t="s">
        <v>440</v>
      </c>
      <c r="C30" s="2" t="s">
        <v>441</v>
      </c>
      <c r="D30" s="2" t="s">
        <v>442</v>
      </c>
      <c r="E30" s="17" t="s">
        <v>443</v>
      </c>
      <c r="F30" s="17" t="n">
        <v>2017</v>
      </c>
      <c r="G30" s="17" t="s">
        <v>444</v>
      </c>
      <c r="H30" s="17" t="n">
        <f aca="false">COUNTIFS(Experiments!$G$2:$G$83,A30,Experiments!$T$2:$T$83,"yes")</f>
        <v>1</v>
      </c>
      <c r="I30" s="2" t="s">
        <v>445</v>
      </c>
    </row>
    <row r="31" customFormat="false" ht="26.85" hidden="false" customHeight="false" outlineLevel="0" collapsed="false">
      <c r="A31" s="17" t="n">
        <v>103</v>
      </c>
      <c r="B31" s="17" t="s">
        <v>446</v>
      </c>
      <c r="C31" s="2" t="s">
        <v>447</v>
      </c>
      <c r="D31" s="2" t="s">
        <v>448</v>
      </c>
      <c r="E31" s="17" t="s">
        <v>449</v>
      </c>
      <c r="F31" s="17" t="n">
        <v>2011</v>
      </c>
      <c r="G31" s="17"/>
      <c r="H31" s="17" t="n">
        <f aca="false">COUNTIFS(Experiments!$G$2:$G$83,A31,Experiments!$T$2:$T$83,"yes")</f>
        <v>1</v>
      </c>
      <c r="I31" s="2" t="s">
        <v>450</v>
      </c>
    </row>
    <row r="32" customFormat="false" ht="39.55" hidden="false" customHeight="false" outlineLevel="0" collapsed="false">
      <c r="A32" s="17" t="n">
        <v>104</v>
      </c>
      <c r="B32" s="17" t="s">
        <v>451</v>
      </c>
      <c r="C32" s="2" t="s">
        <v>452</v>
      </c>
      <c r="D32" s="2" t="s">
        <v>453</v>
      </c>
      <c r="E32" s="17" t="s">
        <v>454</v>
      </c>
      <c r="F32" s="17" t="n">
        <v>2011</v>
      </c>
      <c r="G32" s="17"/>
      <c r="H32" s="17" t="n">
        <f aca="false">COUNTIFS(Experiments!$G$2:$G$83,A32,Experiments!$T$2:$T$83,"yes")</f>
        <v>1</v>
      </c>
      <c r="I32" s="2" t="s">
        <v>455</v>
      </c>
    </row>
    <row r="33" customFormat="false" ht="39.55" hidden="false" customHeight="false" outlineLevel="0" collapsed="false">
      <c r="A33" s="17" t="n">
        <v>105</v>
      </c>
      <c r="B33" s="17" t="s">
        <v>456</v>
      </c>
      <c r="C33" s="2" t="s">
        <v>457</v>
      </c>
      <c r="D33" s="2" t="s">
        <v>458</v>
      </c>
      <c r="E33" s="17" t="s">
        <v>459</v>
      </c>
      <c r="F33" s="17" t="n">
        <v>2016</v>
      </c>
      <c r="G33" s="17" t="s">
        <v>460</v>
      </c>
      <c r="H33" s="17" t="n">
        <f aca="false">COUNTIFS(Experiments!$G$2:$G$83,A33,Experiments!$T$2:$T$83,"yes")</f>
        <v>1</v>
      </c>
      <c r="I33" s="2" t="s">
        <v>461</v>
      </c>
    </row>
    <row r="34" customFormat="false" ht="39.55" hidden="false" customHeight="false" outlineLevel="0" collapsed="false">
      <c r="A34" s="17" t="n">
        <v>106</v>
      </c>
      <c r="B34" s="17" t="s">
        <v>462</v>
      </c>
      <c r="C34" s="2" t="s">
        <v>463</v>
      </c>
      <c r="D34" s="2" t="s">
        <v>464</v>
      </c>
      <c r="E34" s="17" t="s">
        <v>465</v>
      </c>
      <c r="F34" s="17" t="n">
        <v>2021</v>
      </c>
      <c r="G34" s="17" t="s">
        <v>466</v>
      </c>
      <c r="H34" s="17" t="n">
        <f aca="false">COUNTIFS(Experiments!$G$2:$G$83,A34,Experiments!$T$2:$T$83,"yes")</f>
        <v>1</v>
      </c>
      <c r="I34" s="2" t="s">
        <v>467</v>
      </c>
    </row>
    <row r="35" customFormat="false" ht="39.55" hidden="false" customHeight="false" outlineLevel="0" collapsed="false">
      <c r="A35" s="17" t="n">
        <v>107</v>
      </c>
      <c r="B35" s="17" t="s">
        <v>468</v>
      </c>
      <c r="C35" s="2" t="s">
        <v>469</v>
      </c>
      <c r="D35" s="2" t="s">
        <v>470</v>
      </c>
      <c r="E35" s="17" t="s">
        <v>471</v>
      </c>
      <c r="F35" s="17" t="n">
        <v>2021</v>
      </c>
      <c r="G35" s="17" t="s">
        <v>472</v>
      </c>
      <c r="H35" s="17" t="n">
        <f aca="false">COUNTIFS(Experiments!$G$2:$G$83,A35,Experiments!$T$2:$T$83,"yes")</f>
        <v>1</v>
      </c>
      <c r="I35" s="2" t="s">
        <v>473</v>
      </c>
    </row>
    <row r="36" customFormat="false" ht="39.55" hidden="false" customHeight="false" outlineLevel="0" collapsed="false">
      <c r="A36" s="17" t="n">
        <v>109</v>
      </c>
      <c r="B36" s="17" t="s">
        <v>474</v>
      </c>
      <c r="C36" s="2" t="s">
        <v>475</v>
      </c>
      <c r="D36" s="2" t="s">
        <v>476</v>
      </c>
      <c r="E36" s="17" t="s">
        <v>477</v>
      </c>
      <c r="F36" s="17" t="n">
        <v>2025</v>
      </c>
      <c r="G36" s="17" t="s">
        <v>478</v>
      </c>
      <c r="H36" s="17" t="n">
        <f aca="false">COUNTIFS(Experiments!$G$2:$G$83,A36,Experiments!$T$2:$T$83,"yes")</f>
        <v>1</v>
      </c>
      <c r="I36" s="2" t="s">
        <v>479</v>
      </c>
    </row>
    <row r="37" customFormat="false" ht="39.55" hidden="false" customHeight="false" outlineLevel="0" collapsed="false">
      <c r="A37" s="17" t="n">
        <v>110</v>
      </c>
      <c r="B37" s="17" t="s">
        <v>480</v>
      </c>
      <c r="C37" s="2" t="s">
        <v>481</v>
      </c>
      <c r="D37" s="2" t="s">
        <v>482</v>
      </c>
      <c r="E37" s="17" t="s">
        <v>483</v>
      </c>
      <c r="F37" s="17" t="n">
        <v>2005</v>
      </c>
      <c r="G37" s="17" t="s">
        <v>484</v>
      </c>
      <c r="H37" s="17" t="n">
        <f aca="false">COUNTIFS(Experiments!$G$2:$G$83,A37,Experiments!$T$2:$T$83,"yes")</f>
        <v>1</v>
      </c>
      <c r="I37" s="2" t="s">
        <v>485</v>
      </c>
    </row>
    <row r="38" customFormat="false" ht="26.85" hidden="false" customHeight="false" outlineLevel="0" collapsed="false">
      <c r="A38" s="17" t="n">
        <v>111</v>
      </c>
      <c r="B38" s="17" t="s">
        <v>486</v>
      </c>
      <c r="C38" s="2" t="s">
        <v>487</v>
      </c>
      <c r="D38" s="2" t="s">
        <v>488</v>
      </c>
      <c r="E38" s="17" t="s">
        <v>489</v>
      </c>
      <c r="F38" s="17" t="n">
        <v>2005</v>
      </c>
      <c r="G38" s="17" t="s">
        <v>490</v>
      </c>
      <c r="H38" s="17" t="n">
        <f aca="false">COUNTIFS(Experiments!$G$2:$G$83,A38,Experiments!$T$2:$T$83,"yes")</f>
        <v>1</v>
      </c>
      <c r="I38" s="2" t="s">
        <v>491</v>
      </c>
    </row>
    <row r="39" customFormat="false" ht="39.55" hidden="false" customHeight="false" outlineLevel="0" collapsed="false">
      <c r="A39" s="17" t="n">
        <v>112</v>
      </c>
      <c r="B39" s="17" t="s">
        <v>492</v>
      </c>
      <c r="C39" s="2" t="s">
        <v>493</v>
      </c>
      <c r="D39" s="2" t="s">
        <v>494</v>
      </c>
      <c r="E39" s="17" t="s">
        <v>289</v>
      </c>
      <c r="F39" s="17" t="n">
        <v>2008</v>
      </c>
      <c r="G39" s="17" t="s">
        <v>495</v>
      </c>
      <c r="H39" s="17" t="n">
        <f aca="false">COUNTIFS(Experiments!$G$2:$G$83,A39,Experiments!$T$2:$T$83,"yes")</f>
        <v>1</v>
      </c>
      <c r="I39" s="2" t="s">
        <v>496</v>
      </c>
    </row>
    <row r="40" customFormat="false" ht="39.55" hidden="false" customHeight="false" outlineLevel="0" collapsed="false">
      <c r="A40" s="17" t="n">
        <v>114</v>
      </c>
      <c r="B40" s="17" t="s">
        <v>497</v>
      </c>
      <c r="C40" s="2" t="s">
        <v>498</v>
      </c>
      <c r="D40" s="2" t="s">
        <v>499</v>
      </c>
      <c r="E40" s="17" t="s">
        <v>500</v>
      </c>
      <c r="F40" s="17" t="n">
        <v>2014</v>
      </c>
      <c r="G40" s="17" t="s">
        <v>501</v>
      </c>
      <c r="H40" s="17" t="n">
        <f aca="false">COUNTIFS(Experiments!$G$2:$G$83,A40,Experiments!$T$2:$T$83,"yes")</f>
        <v>1</v>
      </c>
      <c r="I40" s="2" t="s">
        <v>502</v>
      </c>
    </row>
    <row r="41" customFormat="false" ht="39.55" hidden="false" customHeight="false" outlineLevel="0" collapsed="false">
      <c r="A41" s="17" t="n">
        <v>115</v>
      </c>
      <c r="B41" s="17" t="s">
        <v>503</v>
      </c>
      <c r="C41" s="2" t="s">
        <v>504</v>
      </c>
      <c r="D41" s="2" t="s">
        <v>505</v>
      </c>
      <c r="E41" s="17" t="s">
        <v>437</v>
      </c>
      <c r="F41" s="17" t="n">
        <v>2020</v>
      </c>
      <c r="G41" s="17" t="s">
        <v>506</v>
      </c>
      <c r="H41" s="17" t="n">
        <f aca="false">COUNTIFS(Experiments!$G$2:$G$83,A41,Experiments!$T$2:$T$83,"yes")</f>
        <v>1</v>
      </c>
      <c r="I41" s="2" t="s">
        <v>507</v>
      </c>
    </row>
    <row r="42" customFormat="false" ht="39.55" hidden="false" customHeight="false" outlineLevel="0" collapsed="false">
      <c r="A42" s="17" t="n">
        <v>116</v>
      </c>
      <c r="B42" s="17" t="s">
        <v>508</v>
      </c>
      <c r="C42" s="2" t="s">
        <v>509</v>
      </c>
      <c r="D42" s="2" t="s">
        <v>510</v>
      </c>
      <c r="E42" s="17" t="s">
        <v>511</v>
      </c>
      <c r="F42" s="17" t="n">
        <v>2024</v>
      </c>
      <c r="G42" s="17" t="s">
        <v>512</v>
      </c>
      <c r="H42" s="17" t="n">
        <f aca="false">COUNTIFS(Experiments!$G$2:$G$83,A42,Experiments!$T$2:$T$83,"yes")</f>
        <v>1</v>
      </c>
      <c r="I42" s="2" t="s">
        <v>513</v>
      </c>
    </row>
    <row r="43" customFormat="false" ht="39.55" hidden="false" customHeight="false" outlineLevel="0" collapsed="false">
      <c r="A43" s="17" t="n">
        <v>118</v>
      </c>
      <c r="B43" s="17" t="s">
        <v>514</v>
      </c>
      <c r="C43" s="2" t="s">
        <v>515</v>
      </c>
      <c r="D43" s="2" t="s">
        <v>516</v>
      </c>
      <c r="E43" s="17" t="s">
        <v>289</v>
      </c>
      <c r="F43" s="17" t="n">
        <v>2024</v>
      </c>
      <c r="G43" s="17" t="s">
        <v>517</v>
      </c>
      <c r="H43" s="17" t="n">
        <f aca="false">COUNTIFS(Experiments!$G$2:$G$83,A43,Experiments!$T$2:$T$83,"yes")</f>
        <v>2</v>
      </c>
      <c r="I43" s="2" t="s">
        <v>518</v>
      </c>
    </row>
    <row r="44" customFormat="false" ht="39.55" hidden="false" customHeight="false" outlineLevel="0" collapsed="false">
      <c r="A44" s="17" t="n">
        <v>119</v>
      </c>
      <c r="B44" s="17" t="s">
        <v>519</v>
      </c>
      <c r="C44" s="2" t="s">
        <v>520</v>
      </c>
      <c r="D44" s="2" t="s">
        <v>521</v>
      </c>
      <c r="E44" s="17" t="s">
        <v>289</v>
      </c>
      <c r="F44" s="17" t="n">
        <v>2014</v>
      </c>
      <c r="G44" s="17" t="s">
        <v>522</v>
      </c>
      <c r="H44" s="17" t="n">
        <f aca="false">COUNTIFS(Experiments!$G$2:$G$83,A44,Experiments!$T$2:$T$83,"yes")</f>
        <v>1</v>
      </c>
      <c r="I44" s="2" t="s">
        <v>523</v>
      </c>
    </row>
    <row r="45" customFormat="false" ht="39.55" hidden="false" customHeight="false" outlineLevel="0" collapsed="false">
      <c r="A45" s="17" t="n">
        <v>120</v>
      </c>
      <c r="B45" s="17" t="s">
        <v>524</v>
      </c>
      <c r="C45" s="2" t="s">
        <v>525</v>
      </c>
      <c r="D45" s="2" t="s">
        <v>526</v>
      </c>
      <c r="E45" s="17" t="s">
        <v>527</v>
      </c>
      <c r="F45" s="17" t="n">
        <v>2011</v>
      </c>
      <c r="G45" s="17" t="s">
        <v>528</v>
      </c>
      <c r="H45" s="17" t="n">
        <f aca="false">COUNTIFS(Experiments!$G$2:$G$83,A45,Experiments!$T$2:$T$83,"yes")</f>
        <v>1</v>
      </c>
      <c r="I45" s="2" t="s">
        <v>529</v>
      </c>
    </row>
    <row r="46" customFormat="false" ht="39.55" hidden="false" customHeight="false" outlineLevel="0" collapsed="false">
      <c r="A46" s="17" t="n">
        <v>122</v>
      </c>
      <c r="B46" s="17" t="s">
        <v>530</v>
      </c>
      <c r="C46" s="2" t="s">
        <v>531</v>
      </c>
      <c r="D46" s="2" t="s">
        <v>532</v>
      </c>
      <c r="E46" s="17" t="s">
        <v>533</v>
      </c>
      <c r="F46" s="17" t="n">
        <v>2016</v>
      </c>
      <c r="G46" s="17" t="s">
        <v>534</v>
      </c>
      <c r="H46" s="17" t="n">
        <f aca="false">COUNTIFS(Experiments!$G$2:$G$83,A46,Experiments!$T$2:$T$83,"yes")</f>
        <v>1</v>
      </c>
      <c r="I46" s="2" t="s">
        <v>535</v>
      </c>
    </row>
    <row r="47" customFormat="false" ht="39.55" hidden="false" customHeight="false" outlineLevel="0" collapsed="false">
      <c r="A47" s="17" t="n">
        <v>123</v>
      </c>
      <c r="B47" s="17" t="s">
        <v>536</v>
      </c>
      <c r="C47" s="2" t="s">
        <v>537</v>
      </c>
      <c r="D47" s="2" t="s">
        <v>538</v>
      </c>
      <c r="E47" s="17" t="s">
        <v>385</v>
      </c>
      <c r="F47" s="17" t="n">
        <v>2019</v>
      </c>
      <c r="G47" s="17" t="s">
        <v>539</v>
      </c>
      <c r="H47" s="17" t="n">
        <f aca="false">COUNTIFS(Experiments!$G$2:$G$83,A47,Experiments!$T$2:$T$83,"yes")</f>
        <v>2</v>
      </c>
      <c r="I47" s="2" t="s">
        <v>540</v>
      </c>
    </row>
    <row r="48" customFormat="false" ht="39.55" hidden="false" customHeight="false" outlineLevel="0" collapsed="false">
      <c r="A48" s="17" t="n">
        <v>124</v>
      </c>
      <c r="B48" s="17" t="s">
        <v>541</v>
      </c>
      <c r="C48" s="2" t="s">
        <v>542</v>
      </c>
      <c r="D48" s="2" t="s">
        <v>543</v>
      </c>
      <c r="E48" s="17" t="s">
        <v>527</v>
      </c>
      <c r="F48" s="17" t="n">
        <v>2004</v>
      </c>
      <c r="G48" s="17" t="s">
        <v>544</v>
      </c>
      <c r="H48" s="17" t="n">
        <f aca="false">COUNTIFS(Experiments!$G$2:$G$83,A48,Experiments!$T$2:$T$83,"yes")</f>
        <v>1</v>
      </c>
      <c r="I48" s="2" t="s">
        <v>545</v>
      </c>
    </row>
    <row r="49" customFormat="false" ht="39.55" hidden="false" customHeight="false" outlineLevel="0" collapsed="false">
      <c r="A49" s="17" t="n">
        <v>125</v>
      </c>
      <c r="B49" s="17" t="s">
        <v>546</v>
      </c>
      <c r="C49" s="2" t="s">
        <v>547</v>
      </c>
      <c r="D49" s="2" t="s">
        <v>548</v>
      </c>
      <c r="E49" s="17" t="s">
        <v>549</v>
      </c>
      <c r="F49" s="17" t="n">
        <v>2009</v>
      </c>
      <c r="G49" s="17" t="s">
        <v>550</v>
      </c>
      <c r="H49" s="17" t="n">
        <f aca="false">COUNTIFS(Experiments!$G$2:$G$83,A49,Experiments!$T$2:$T$83,"yes")</f>
        <v>1</v>
      </c>
      <c r="I49" s="2" t="s">
        <v>551</v>
      </c>
    </row>
    <row r="50" customFormat="false" ht="26.85" hidden="false" customHeight="false" outlineLevel="0" collapsed="false">
      <c r="A50" s="17" t="n">
        <v>126</v>
      </c>
      <c r="B50" s="17" t="s">
        <v>552</v>
      </c>
      <c r="C50" s="2" t="s">
        <v>553</v>
      </c>
      <c r="D50" s="2" t="s">
        <v>554</v>
      </c>
      <c r="E50" s="17" t="s">
        <v>555</v>
      </c>
      <c r="F50" s="17" t="n">
        <v>2010</v>
      </c>
      <c r="G50" s="17" t="s">
        <v>556</v>
      </c>
      <c r="H50" s="17" t="n">
        <f aca="false">COUNTIFS(Experiments!$G$2:$G$83,A50,Experiments!$T$2:$T$83,"yes")</f>
        <v>1</v>
      </c>
      <c r="I50" s="2" t="s">
        <v>557</v>
      </c>
    </row>
    <row r="51" customFormat="false" ht="39.55" hidden="false" customHeight="false" outlineLevel="0" collapsed="false">
      <c r="A51" s="17" t="n">
        <v>127</v>
      </c>
      <c r="B51" s="17" t="s">
        <v>558</v>
      </c>
      <c r="C51" s="2" t="s">
        <v>559</v>
      </c>
      <c r="D51" s="2" t="s">
        <v>560</v>
      </c>
      <c r="E51" s="17" t="s">
        <v>561</v>
      </c>
      <c r="F51" s="17" t="n">
        <v>2021</v>
      </c>
      <c r="G51" s="17" t="s">
        <v>562</v>
      </c>
      <c r="H51" s="17" t="n">
        <f aca="false">COUNTIFS(Experiments!$G$2:$G$83,A51,Experiments!$T$2:$T$83,"yes")</f>
        <v>1</v>
      </c>
      <c r="I51" s="2" t="s">
        <v>563</v>
      </c>
    </row>
    <row r="52" customFormat="false" ht="26.85" hidden="false" customHeight="false" outlineLevel="0" collapsed="false">
      <c r="A52" s="17" t="n">
        <v>129</v>
      </c>
      <c r="B52" s="17" t="s">
        <v>564</v>
      </c>
      <c r="C52" s="2" t="s">
        <v>565</v>
      </c>
      <c r="D52" s="2" t="s">
        <v>566</v>
      </c>
      <c r="E52" s="17" t="s">
        <v>289</v>
      </c>
      <c r="F52" s="17" t="n">
        <v>2016</v>
      </c>
      <c r="G52" s="17" t="s">
        <v>567</v>
      </c>
      <c r="H52" s="17" t="n">
        <f aca="false">COUNTIFS(Experiments!$G$2:$G$83,A52,Experiments!$T$2:$T$83,"yes")</f>
        <v>1</v>
      </c>
      <c r="I52" s="2" t="s">
        <v>568</v>
      </c>
    </row>
    <row r="53" customFormat="false" ht="39.55" hidden="false" customHeight="false" outlineLevel="0" collapsed="false">
      <c r="A53" s="17" t="n">
        <v>130</v>
      </c>
      <c r="B53" s="17" t="s">
        <v>569</v>
      </c>
      <c r="C53" s="2" t="s">
        <v>570</v>
      </c>
      <c r="D53" s="2" t="s">
        <v>571</v>
      </c>
      <c r="E53" s="17" t="s">
        <v>555</v>
      </c>
      <c r="F53" s="17" t="n">
        <v>2011</v>
      </c>
      <c r="G53" s="17" t="s">
        <v>572</v>
      </c>
      <c r="H53" s="17" t="n">
        <f aca="false">COUNTIFS(Experiments!$G$2:$G$83,A53,Experiments!$T$2:$T$83,"yes")</f>
        <v>1</v>
      </c>
      <c r="I53" s="2" t="s">
        <v>573</v>
      </c>
    </row>
    <row r="54" customFormat="false" ht="26.85" hidden="false" customHeight="false" outlineLevel="0" collapsed="false">
      <c r="A54" s="17" t="n">
        <v>131</v>
      </c>
      <c r="B54" s="17" t="s">
        <v>574</v>
      </c>
      <c r="C54" s="2" t="s">
        <v>575</v>
      </c>
      <c r="D54" s="2" t="s">
        <v>576</v>
      </c>
      <c r="E54" s="17" t="s">
        <v>489</v>
      </c>
      <c r="F54" s="17" t="n">
        <v>2015</v>
      </c>
      <c r="G54" s="17" t="s">
        <v>577</v>
      </c>
      <c r="H54" s="17" t="n">
        <f aca="false">COUNTIFS(Experiments!$G$2:$G$83,A54,Experiments!$T$2:$T$83,"yes")</f>
        <v>2</v>
      </c>
      <c r="I54" s="2" t="s">
        <v>578</v>
      </c>
    </row>
    <row r="55" customFormat="false" ht="26.85" hidden="false" customHeight="false" outlineLevel="0" collapsed="false">
      <c r="A55" s="17" t="n">
        <v>132</v>
      </c>
      <c r="B55" s="17" t="s">
        <v>579</v>
      </c>
      <c r="C55" s="2" t="s">
        <v>580</v>
      </c>
      <c r="D55" s="2" t="s">
        <v>581</v>
      </c>
      <c r="E55" s="17" t="s">
        <v>582</v>
      </c>
      <c r="F55" s="17" t="n">
        <v>2018</v>
      </c>
      <c r="G55" s="17" t="s">
        <v>583</v>
      </c>
      <c r="H55" s="17" t="n">
        <f aca="false">COUNTIFS(Experiments!$G$2:$G$83,A55,Experiments!$T$2:$T$83,"yes")</f>
        <v>1</v>
      </c>
      <c r="I55" s="2" t="s">
        <v>584</v>
      </c>
    </row>
    <row r="56" customFormat="false" ht="26.85" hidden="false" customHeight="false" outlineLevel="0" collapsed="false">
      <c r="A56" s="17" t="n">
        <v>133</v>
      </c>
      <c r="B56" s="17" t="s">
        <v>585</v>
      </c>
      <c r="C56" s="2" t="s">
        <v>586</v>
      </c>
      <c r="D56" s="2" t="s">
        <v>587</v>
      </c>
      <c r="E56" s="17" t="s">
        <v>588</v>
      </c>
      <c r="F56" s="17" t="n">
        <v>2022</v>
      </c>
      <c r="G56" s="17" t="s">
        <v>589</v>
      </c>
      <c r="H56" s="17" t="n">
        <f aca="false">COUNTIFS(Experiments!$G$2:$G$83,A56,Experiments!$T$2:$T$83,"yes")</f>
        <v>1</v>
      </c>
      <c r="I56" s="2" t="s">
        <v>590</v>
      </c>
    </row>
    <row r="57" customFormat="false" ht="52.2" hidden="false" customHeight="false" outlineLevel="0" collapsed="false">
      <c r="A57" s="17" t="n">
        <v>134</v>
      </c>
      <c r="B57" s="17" t="s">
        <v>591</v>
      </c>
      <c r="C57" s="2" t="s">
        <v>592</v>
      </c>
      <c r="D57" s="2" t="s">
        <v>593</v>
      </c>
      <c r="E57" s="17" t="s">
        <v>594</v>
      </c>
      <c r="F57" s="17" t="n">
        <v>2021</v>
      </c>
      <c r="G57" s="17" t="s">
        <v>595</v>
      </c>
      <c r="H57" s="17" t="n">
        <f aca="false">COUNTIFS(Experiments!$G$2:$G$83,A57,Experiments!$T$2:$T$83,"yes")</f>
        <v>1</v>
      </c>
      <c r="I57" s="2" t="s">
        <v>596</v>
      </c>
    </row>
    <row r="58" customFormat="false" ht="39.55" hidden="false" customHeight="false" outlineLevel="0" collapsed="false">
      <c r="A58" s="17" t="n">
        <v>135</v>
      </c>
      <c r="B58" s="17" t="s">
        <v>597</v>
      </c>
      <c r="C58" s="2" t="s">
        <v>598</v>
      </c>
      <c r="D58" s="2" t="s">
        <v>599</v>
      </c>
      <c r="E58" s="17" t="s">
        <v>600</v>
      </c>
      <c r="F58" s="17" t="n">
        <v>2021</v>
      </c>
      <c r="G58" s="17" t="s">
        <v>601</v>
      </c>
      <c r="H58" s="17" t="n">
        <f aca="false">COUNTIFS(Experiments!$G$2:$G$83,A58,Experiments!$T$2:$T$83,"yes")</f>
        <v>1</v>
      </c>
      <c r="I58" s="2" t="s">
        <v>602</v>
      </c>
    </row>
    <row r="59" customFormat="false" ht="26.85" hidden="false" customHeight="false" outlineLevel="0" collapsed="false">
      <c r="A59" s="17" t="n">
        <v>136</v>
      </c>
      <c r="B59" s="17" t="s">
        <v>603</v>
      </c>
      <c r="C59" s="2" t="s">
        <v>604</v>
      </c>
      <c r="D59" s="2" t="s">
        <v>605</v>
      </c>
      <c r="E59" s="17" t="s">
        <v>454</v>
      </c>
      <c r="F59" s="17" t="n">
        <v>2016</v>
      </c>
      <c r="G59" s="17"/>
      <c r="H59" s="17" t="n">
        <f aca="false">COUNTIFS(Experiments!$G$2:$G$83,A59,Experiments!$T$2:$T$83,"yes")</f>
        <v>1</v>
      </c>
      <c r="I59" s="2" t="s">
        <v>606</v>
      </c>
    </row>
    <row r="60" customFormat="false" ht="26.85" hidden="false" customHeight="false" outlineLevel="0" collapsed="false">
      <c r="A60" s="17" t="n">
        <v>137</v>
      </c>
      <c r="B60" s="17" t="s">
        <v>607</v>
      </c>
      <c r="C60" s="2" t="s">
        <v>608</v>
      </c>
      <c r="D60" s="2" t="s">
        <v>609</v>
      </c>
      <c r="E60" s="17" t="s">
        <v>283</v>
      </c>
      <c r="F60" s="17" t="n">
        <v>2013</v>
      </c>
      <c r="G60" s="17" t="s">
        <v>610</v>
      </c>
      <c r="H60" s="17" t="n">
        <f aca="false">COUNTIFS(Experiments!$G$2:$G$83,A60,Experiments!$T$2:$T$83,"yes")</f>
        <v>1</v>
      </c>
      <c r="I60" s="2" t="s">
        <v>611</v>
      </c>
    </row>
    <row r="61" customFormat="false" ht="39.55" hidden="false" customHeight="false" outlineLevel="0" collapsed="false">
      <c r="A61" s="17" t="n">
        <v>138</v>
      </c>
      <c r="B61" s="17" t="s">
        <v>612</v>
      </c>
      <c r="C61" s="2" t="s">
        <v>613</v>
      </c>
      <c r="D61" s="2" t="s">
        <v>614</v>
      </c>
      <c r="E61" s="17" t="s">
        <v>615</v>
      </c>
      <c r="F61" s="17" t="n">
        <v>2014</v>
      </c>
      <c r="G61" s="17" t="s">
        <v>616</v>
      </c>
      <c r="H61" s="17" t="n">
        <f aca="false">COUNTIFS(Experiments!$G$2:$G$83,A61,Experiments!$T$2:$T$83,"yes")</f>
        <v>1</v>
      </c>
      <c r="I61" s="2" t="s">
        <v>617</v>
      </c>
    </row>
    <row r="62" customFormat="false" ht="39.55" hidden="false" customHeight="false" outlineLevel="0" collapsed="false">
      <c r="A62" s="17" t="n">
        <v>140</v>
      </c>
      <c r="B62" s="17" t="s">
        <v>618</v>
      </c>
      <c r="C62" s="2" t="s">
        <v>619</v>
      </c>
      <c r="D62" s="2" t="s">
        <v>620</v>
      </c>
      <c r="E62" s="17" t="s">
        <v>621</v>
      </c>
      <c r="F62" s="17" t="n">
        <v>2007</v>
      </c>
      <c r="G62" s="17" t="s">
        <v>622</v>
      </c>
      <c r="H62" s="17" t="n">
        <f aca="false">COUNTIFS(Experiments!$G$2:$G$83,A62,Experiments!$T$2:$T$83,"yes")</f>
        <v>2</v>
      </c>
      <c r="I62" s="2" t="s">
        <v>623</v>
      </c>
    </row>
    <row r="63" customFormat="false" ht="39.55" hidden="false" customHeight="false" outlineLevel="0" collapsed="false">
      <c r="A63" s="17" t="n">
        <v>141</v>
      </c>
      <c r="B63" s="17" t="s">
        <v>624</v>
      </c>
      <c r="C63" s="2" t="s">
        <v>625</v>
      </c>
      <c r="D63" s="2" t="s">
        <v>626</v>
      </c>
      <c r="E63" s="17" t="s">
        <v>289</v>
      </c>
      <c r="F63" s="17" t="n">
        <v>2016</v>
      </c>
      <c r="G63" s="17" t="s">
        <v>627</v>
      </c>
      <c r="H63" s="17" t="n">
        <f aca="false">COUNTIFS(Experiments!$G$2:$G$83,A63,Experiments!$T$2:$T$83,"yes")</f>
        <v>1</v>
      </c>
      <c r="I63" s="2" t="s">
        <v>628</v>
      </c>
    </row>
    <row r="64" customFormat="false" ht="26.85" hidden="false" customHeight="false" outlineLevel="0" collapsed="false">
      <c r="A64" s="17" t="n">
        <v>143</v>
      </c>
      <c r="B64" s="17" t="s">
        <v>603</v>
      </c>
      <c r="C64" s="2" t="s">
        <v>629</v>
      </c>
      <c r="D64" s="2" t="s">
        <v>630</v>
      </c>
      <c r="E64" s="17" t="s">
        <v>289</v>
      </c>
      <c r="F64" s="17" t="n">
        <v>2016</v>
      </c>
      <c r="G64" s="17" t="s">
        <v>631</v>
      </c>
      <c r="H64" s="17" t="n">
        <f aca="false">COUNTIFS(Experiments!$G$2:$G$83,A64,Experiments!$T$2:$T$83,"yes")</f>
        <v>1</v>
      </c>
      <c r="I64" s="2" t="s">
        <v>632</v>
      </c>
    </row>
    <row r="65" customFormat="false" ht="52.2" hidden="false" customHeight="false" outlineLevel="0" collapsed="false">
      <c r="A65" s="17" t="n">
        <v>144</v>
      </c>
      <c r="B65" s="17" t="s">
        <v>633</v>
      </c>
      <c r="C65" s="2" t="s">
        <v>634</v>
      </c>
      <c r="D65" s="2" t="s">
        <v>635</v>
      </c>
      <c r="E65" s="17" t="s">
        <v>636</v>
      </c>
      <c r="F65" s="17" t="n">
        <v>2016</v>
      </c>
      <c r="G65" s="17" t="s">
        <v>637</v>
      </c>
      <c r="H65" s="17" t="n">
        <f aca="false">COUNTIFS(Experiments!$G$2:$G$83,A65,Experiments!$T$2:$T$83,"yes")</f>
        <v>1</v>
      </c>
      <c r="I65" s="2" t="s">
        <v>638</v>
      </c>
    </row>
    <row r="66" customFormat="false" ht="39.55" hidden="false" customHeight="false" outlineLevel="0" collapsed="false">
      <c r="A66" s="17" t="n">
        <v>145</v>
      </c>
      <c r="B66" s="17" t="s">
        <v>639</v>
      </c>
      <c r="C66" s="2" t="s">
        <v>640</v>
      </c>
      <c r="D66" s="2" t="s">
        <v>641</v>
      </c>
      <c r="E66" s="17" t="s">
        <v>465</v>
      </c>
      <c r="F66" s="17" t="n">
        <v>2017</v>
      </c>
      <c r="G66" s="17" t="s">
        <v>642</v>
      </c>
      <c r="H66" s="17" t="n">
        <f aca="false">COUNTIFS(Experiments!$G$2:$G$83,A66,Experiments!$T$2:$T$83,"yes")</f>
        <v>1</v>
      </c>
      <c r="I66" s="2" t="s">
        <v>643</v>
      </c>
    </row>
    <row r="67" customFormat="false" ht="39.55" hidden="false" customHeight="false" outlineLevel="0" collapsed="false">
      <c r="A67" s="17" t="n">
        <v>146</v>
      </c>
      <c r="B67" s="17" t="s">
        <v>644</v>
      </c>
      <c r="C67" s="2" t="s">
        <v>645</v>
      </c>
      <c r="D67" s="2" t="s">
        <v>646</v>
      </c>
      <c r="E67" s="17" t="s">
        <v>454</v>
      </c>
      <c r="F67" s="17" t="n">
        <v>2017</v>
      </c>
      <c r="G67" s="17"/>
      <c r="H67" s="17" t="n">
        <f aca="false">COUNTIFS(Experiments!$G$2:$G$83,A67,Experiments!$T$2:$T$83,"yes")</f>
        <v>1</v>
      </c>
      <c r="I67" s="2" t="s">
        <v>647</v>
      </c>
    </row>
    <row r="68" customFormat="false" ht="52.2" hidden="false" customHeight="false" outlineLevel="0" collapsed="false">
      <c r="A68" s="17" t="n">
        <v>147</v>
      </c>
      <c r="B68" s="17" t="s">
        <v>648</v>
      </c>
      <c r="C68" s="2" t="s">
        <v>649</v>
      </c>
      <c r="D68" s="2" t="s">
        <v>650</v>
      </c>
      <c r="E68" s="17" t="s">
        <v>651</v>
      </c>
      <c r="F68" s="17" t="n">
        <v>2023</v>
      </c>
      <c r="G68" s="17" t="s">
        <v>652</v>
      </c>
      <c r="H68" s="17" t="n">
        <f aca="false">COUNTIFS(Experiments!$G$2:$G$83,A68,Experiments!$T$2:$T$83,"yes")</f>
        <v>1</v>
      </c>
      <c r="I68" s="2" t="s">
        <v>653</v>
      </c>
    </row>
    <row r="69" customFormat="false" ht="52.2" hidden="false" customHeight="false" outlineLevel="0" collapsed="false">
      <c r="A69" s="17" t="n">
        <v>148</v>
      </c>
      <c r="B69" s="17" t="s">
        <v>654</v>
      </c>
      <c r="C69" s="2" t="s">
        <v>655</v>
      </c>
      <c r="D69" s="2" t="s">
        <v>656</v>
      </c>
      <c r="E69" s="17" t="s">
        <v>600</v>
      </c>
      <c r="F69" s="17" t="n">
        <v>2022</v>
      </c>
      <c r="G69" s="17" t="s">
        <v>657</v>
      </c>
      <c r="H69" s="17" t="n">
        <f aca="false">COUNTIFS(Experiments!$G$2:$G$83,A69,Experiments!$T$2:$T$83,"yes")</f>
        <v>1</v>
      </c>
      <c r="I69" s="2" t="s">
        <v>658</v>
      </c>
    </row>
  </sheetData>
  <autoFilter ref="A1:I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2026-10-18T15:15:36Z</dcterms:created>
  <dc:creator>openpyxl</dc:creator>
  <dc:description/>
  <dc:language>en-US</dc:language>
  <cp:lastModifiedBy/>
  <dcterms:modified xsi:type="dcterms:W3CDTF">2026-10-18T15:15:36Z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