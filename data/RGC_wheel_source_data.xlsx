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850" tabRatio="500" firstSheet="0" activeTab="4"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Experiments" sheetId="3" state="visible" r:id="rId3"/>
    <sheet xmlns:r="http://schemas.openxmlformats.org/officeDocument/2006/relationships" name="Drug classes" sheetId="4" state="visible" r:id="rId4"/>
    <sheet xmlns:r="http://schemas.openxmlformats.org/officeDocument/2006/relationships" name="References" sheetId="5" state="visible" r:id="rId5"/>
  </sheets>
  <definedNames>
    <definedName name="_xlnm._FilterDatabase" localSheetId="2" hidden="1">'Experiments'!$A$1:$T$83</definedName>
    <definedName name="_xlnm._FilterDatabase" localSheetId="4" hidden="1">'References'!$A$1:$I$66</definedName>
  </definedNames>
  <calcPr calcId="191029" fullCalcOnLoad="1"/>
</workbook>
</file>

<file path=xl/styles.xml><?xml version="1.0" encoding="utf-8"?>
<styleSheet xmlns="http://schemas.openxmlformats.org/spreadsheetml/2006/main">
  <numFmts count="0"/>
  <fonts count="9">
    <font>
      <name val="Calibri"/>
      <charset val="1"/>
      <family val="2"/>
      <color theme="1"/>
      <sz val="11"/>
    </font>
    <font>
      <name val="Arial"/>
      <charset val="1"/>
      <b val="1"/>
      <sz val="14"/>
    </font>
    <font>
      <name val="Arial"/>
      <charset val="1"/>
      <sz val="11"/>
    </font>
    <font>
      <name val="Arial"/>
      <charset val="1"/>
      <b val="1"/>
      <sz val="11"/>
    </font>
    <font>
      <name val="Arial"/>
      <charset val="1"/>
      <i val="1"/>
      <color rgb="FF666666"/>
      <sz val="11"/>
    </font>
    <font>
      <name val="Arial"/>
      <charset val="1"/>
      <b val="1"/>
      <color rgb="FFFFFFFF"/>
      <sz val="11"/>
    </font>
    <font>
      <name val="Arial"/>
      <charset val="1"/>
      <color rgb="FF0000FF"/>
      <sz val="11"/>
    </font>
    <font>
      <name val="Arial"/>
      <charset val="1"/>
      <color rgb="FF9A6A12"/>
      <sz val="11"/>
    </font>
    <font>
      <name val="Arial"/>
      <family val="2"/>
      <sz val="10"/>
    </font>
  </fonts>
  <fills count="3">
    <fill>
      <patternFill/>
    </fill>
    <fill>
      <patternFill patternType="gray125"/>
    </fill>
    <fill>
      <patternFill patternType="solid">
        <fgColor rgb="FF1F6B74"/>
        <bgColor rgb="FF008080"/>
      </patternFill>
    </fill>
  </fills>
  <borders count="2">
    <border>
      <left/>
      <right/>
      <top/>
      <bottom/>
      <diagonal/>
    </border>
    <border>
      <left/>
      <right/>
      <top style="thin">
        <color rgb="FFC8D0D2"/>
      </top>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5" fillId="2" borderId="0" applyAlignment="1" pivotButton="0" quotePrefix="0" xfId="0">
      <alignment vertical="center" wrapText="1"/>
    </xf>
    <xf numFmtId="0" fontId="2" fillId="0" borderId="0" pivotButton="0" quotePrefix="0" xfId="0"/>
    <xf numFmtId="1" fontId="2" fillId="0" borderId="0" pivotButton="0" quotePrefix="0" xfId="0"/>
    <xf numFmtId="1" fontId="6" fillId="0" borderId="0" pivotButton="0" quotePrefix="0" xfId="0"/>
    <xf numFmtId="0" fontId="3" fillId="0" borderId="0" pivotButton="0" quotePrefix="0" xfId="0"/>
    <xf numFmtId="9" fontId="2" fillId="0" borderId="0" pivotButton="0" quotePrefix="0" xfId="0"/>
    <xf numFmtId="9" fontId="6" fillId="0" borderId="0" pivotButton="0" quotePrefix="0" xfId="0"/>
    <xf numFmtId="0" fontId="7" fillId="0" borderId="0" applyAlignment="1" pivotButton="0" quotePrefix="0" xfId="0">
      <alignment vertical="top" wrapText="1"/>
    </xf>
    <xf numFmtId="0" fontId="3" fillId="0" borderId="1" pivotButton="0" quotePrefix="0" xfId="0"/>
    <xf numFmtId="0" fontId="0" fillId="0" borderId="1" pivotButton="0" quotePrefix="0" xfId="0"/>
    <xf numFmtId="0" fontId="4" fillId="0" borderId="0" pivotButton="0" quotePrefix="0" xfId="0"/>
    <xf numFmtId="0" fontId="2" fillId="0" borderId="0" applyAlignment="1" pivotButton="0" quotePrefix="0" xfId="0">
      <alignment vertical="top"/>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A6A12"/>
      <rgbColor rgb="FF800080"/>
      <rgbColor rgb="FF1F6B74"/>
      <rgbColor rgb="FFC8D0D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C2" authorId="0" shapeId="0">
      <text>
        <t>Source: manuscript, “Future directions &amp; Conclusions”, paragraph on animal models (Figure 3): “Of the 80 in vivo experiments (49 compounds, 68 studies) … 64% … 12% … 30 used a single dose, and 69% … 4 weeks or less.”</t>
      </text>
    </comment>
  </commentList>
</comments>
</file>

<file path=xl/comments/comment2.xml><?xml version="1.0" encoding="utf-8"?>
<comments xmlns="http://schemas.openxmlformats.org/spreadsheetml/2006/main">
  <authors>
    <author>Unknown Author</author>
  </authors>
  <commentList>
    <comment ref="E1" authorId="0" shapeId="0">
      <text>
        <t>Formula: looked up from the 'Drug classes' sheet.</t>
      </text>
    </comment>
    <comment ref="O1" authorId="0" shapeId="0">
      <text>
        <t>Formula: bins column N (treatment duration).</t>
      </text>
    </comment>
    <comment ref="T1" authorId="0" shapeId="0">
      <text>
        <t>Formula: yes when the row is in Tables 1–3 and included in the figure.</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23"/>
  <sheetViews>
    <sheetView zoomScaleNormal="100" workbookViewId="0">
      <selection activeCell="A1" sqref="A1"/>
    </sheetView>
  </sheetViews>
  <sheetFormatPr baseColWidth="8" defaultColWidth="8.6328125" defaultRowHeight="14.5"/>
  <cols>
    <col width="130" customWidth="1" min="1" max="1"/>
  </cols>
  <sheetData>
    <row r="1" ht="18" customHeight="1">
      <c r="A1" s="1" t="inlineStr">
        <is>
          <t>RGC Neuroprotection Wheel: source data</t>
        </is>
      </c>
    </row>
    <row r="2">
      <c r="A2" s="2" t="inlineStr">
        <is>
          <t>Graphical abstract of Malahov et al., “Pharmacological targeting of TNF-α, IL-1β and IL-6 signaling in retinal ganglion cell degeneration”.</t>
        </is>
      </c>
    </row>
    <row r="3">
      <c r="A3" s="2" t="n"/>
    </row>
    <row r="4">
      <c r="A4" s="3" t="inlineStr">
        <is>
          <t>Sheets</t>
        </is>
      </c>
    </row>
    <row r="5">
      <c r="A5" s="2" t="inlineStr">
        <is>
          <t>Experiments: one row per in vivo experiment (study × compound × model/species × route). Columns E, O and T are formulas.</t>
        </is>
      </c>
    </row>
    <row r="6">
      <c r="A6" s="2" t="inlineStr">
        <is>
          <t>Drug classes: drug class → pathway branch (Figure 2 colours) and table of the manuscript. Used by column E of Experiments.</t>
        </is>
      </c>
    </row>
    <row r="7">
      <c r="A7" s="2" t="inlineStr">
        <is>
          <t>References: the 65 references cited for these experiments, numbered as in the manuscript (DOI as given there).</t>
        </is>
      </c>
    </row>
    <row r="8">
      <c r="A8" s="2" t="inlineStr">
        <is>
          <t>Summary: counts per drug class (the wheel sectors) and a check of every number quoted in the manuscript text.</t>
        </is>
      </c>
    </row>
    <row r="9">
      <c r="A9" s="2" t="n"/>
    </row>
    <row r="10">
      <c r="A10" s="3" t="inlineStr">
        <is>
          <t>Which rows are drawn</t>
        </is>
      </c>
    </row>
    <row r="11">
      <c r="A11" s="2" t="inlineStr">
        <is>
          <t>The wheel shows rows with In wheel = yes (In Tables 1–3 = yes and Include in figure = yes): 76 experiments.</t>
        </is>
      </c>
    </row>
    <row r="12" ht="28" customHeight="1">
      <c r="A12" s="2" t="inlineStr">
        <is>
          <t>Two curated rows are kept for transparency but not drawn: Etanercept [56] sonication-induced traumatic optic neuropathy (not in Table 1) and BIRB 796 [88] squirrel monkey (non-rodent arm, not in Table 2).</t>
        </is>
      </c>
    </row>
    <row r="13">
      <c r="A13" s="2" t="n"/>
    </row>
    <row r="14">
      <c r="A14" s="3" t="inlineStr">
        <is>
          <t>Definitions</t>
        </is>
      </c>
    </row>
    <row r="15" ht="28" customHeight="1">
      <c r="A15" s="2" t="inlineStr">
        <is>
          <t>Treatment duration = days from first to last dose, inclusive (single dose = 1 d; continuous dosing = until sacrifice; 1 month = 30 d; several arms = longest).</t>
        </is>
      </c>
    </row>
    <row r="16">
      <c r="A16" s="2" t="inlineStr">
        <is>
          <t>Dosing group bins the duration: single dose (1 d), 2–7 d, 8–28 d, 1–3 months (29–90 d), &gt; 3 months; blank duration = not reported.</t>
        </is>
      </c>
    </row>
    <row r="17">
      <c r="A17" s="2" t="inlineStr">
        <is>
          <t>Injury model (grouped) pools closely related models (e.g. partial and complete optic nerve crush; all episcleral vein OHT procedures).</t>
        </is>
      </c>
    </row>
    <row r="18">
      <c r="A18" s="2" t="inlineStr">
        <is>
          <t>Model category: acute injury, induced ocular hypertension (OHT), or genetic / metabolic.</t>
        </is>
      </c>
    </row>
    <row r="19">
      <c r="A19" s="2" t="inlineStr">
        <is>
          <t>RGC outcome summarises the RGC endpoint as reported: protective, partial, axonal only, no protection; or no RGC readout / not determined.</t>
        </is>
      </c>
    </row>
    <row r="20">
      <c r="A20" s="2" t="n"/>
    </row>
    <row r="21">
      <c r="A21" s="3" t="inlineStr">
        <is>
          <t>How the figure is rebuilt</t>
        </is>
      </c>
    </row>
    <row r="22" ht="28" customHeight="1">
      <c r="A22" s="2" t="inlineStr">
        <is>
          <t>scripts/prep.py reads this workbook → data/data.json; scripts/build.py builds index.html; scripts/render_graphical_abstract.py exports the 600 dpi figure.</t>
        </is>
      </c>
    </row>
    <row r="23">
      <c r="A23" s="4" t="inlineStr">
        <is>
          <t>Colour key: blue text = values taken from the manuscript text for checking; black = data or formulas.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N34"/>
  <sheetViews>
    <sheetView zoomScaleNormal="100" workbookViewId="0">
      <selection activeCell="B3" sqref="B3"/>
    </sheetView>
  </sheetViews>
  <sheetFormatPr baseColWidth="8" defaultColWidth="8.6328125" defaultRowHeight="14.5"/>
  <cols>
    <col width="44" customWidth="1" min="1" max="1"/>
    <col width="24" customWidth="1" min="2" max="2"/>
    <col width="18" customWidth="1" min="3" max="3"/>
    <col width="10" customWidth="1" min="4" max="4"/>
    <col width="70" customWidth="1" min="5" max="5"/>
    <col width="13" customWidth="1" min="6" max="14"/>
  </cols>
  <sheetData>
    <row r="1" ht="18" customHeight="1">
      <c r="A1" s="5" t="inlineStr">
        <is>
          <t>Check against the manuscript text</t>
        </is>
      </c>
    </row>
    <row r="2">
      <c r="A2" s="6" t="inlineStr">
        <is>
          <t>Quantity</t>
        </is>
      </c>
      <c r="B2" s="6" t="inlineStr">
        <is>
          <t>From the data (formula)</t>
        </is>
      </c>
      <c r="C2" s="6" t="inlineStr">
        <is>
          <t>Manuscript text</t>
        </is>
      </c>
      <c r="D2" s="6" t="inlineStr">
        <is>
          <t>Match</t>
        </is>
      </c>
      <c r="E2" s="6" t="inlineStr">
        <is>
          <t>Note</t>
        </is>
      </c>
    </row>
    <row r="3">
      <c r="A3" s="7" t="inlineStr">
        <is>
          <t>Experiments in Tables 1–3 (drawn in the wheel)</t>
        </is>
      </c>
      <c r="B3" s="8">
        <f>COUNTIFS(Experiments!$T$2:$T$79,"yes")</f>
        <v/>
      </c>
      <c r="C3" s="9" t="n">
        <v>76</v>
      </c>
      <c r="D3" s="10">
        <f>IF(ABS(B3-C3)&lt;=0+0.000000001,"yes","CHECK")</f>
        <v/>
      </c>
    </row>
    <row r="4">
      <c r="A4" s="7" t="inlineStr">
        <is>
          <t>Compounds</t>
        </is>
      </c>
      <c r="B4" s="8">
        <f>SUMPRODUCT((Experiments!$T$2:$T$79="yes")/(COUNTIFS(Experiments!$C$2:$C$79,Experiments!$C$2:$C$79,Experiments!$T$2:$T$79,"yes")+(Experiments!$T$2:$T$79&lt;&gt;"yes")))</f>
        <v/>
      </c>
      <c r="C4" s="9" t="n">
        <v>47</v>
      </c>
      <c r="D4" s="10">
        <f>IF(ABS(B4-C4)&lt;=0+0.000000001,"yes","CHECK")</f>
        <v/>
      </c>
    </row>
    <row r="5">
      <c r="A5" s="7" t="inlineStr">
        <is>
          <t>Studies (distinct references)</t>
        </is>
      </c>
      <c r="B5" s="8">
        <f>SUMPRODUCT((Experiments!$T$2:$T$79="yes")/(COUNTIFS(Experiments!$G$2:$G$79,Experiments!$G$2:$G$79,Experiments!$T$2:$T$79,"yes")+(Experiments!$T$2:$T$79&lt;&gt;"yes")))</f>
        <v/>
      </c>
      <c r="C5" s="9" t="n">
        <v>65</v>
      </c>
      <c r="D5" s="10">
        <f>IF(ABS(B5-C5)&lt;=0+0.000000001,"yes","CHECK")</f>
        <v/>
      </c>
    </row>
    <row r="6">
      <c r="A6" s="7" t="inlineStr">
        <is>
          <t>Share using acute injury models</t>
        </is>
      </c>
      <c r="B6" s="11">
        <f>COUNTIFS(Experiments!$K$2:$K$79,"Acute injury",Experiments!$T$2:$T$79,"yes")/B3</f>
        <v/>
      </c>
      <c r="C6" s="12" t="n">
        <v>0.62</v>
      </c>
      <c r="D6" s="10">
        <f>IF(ABS(B6-C6)&lt;=0.005+0.000000001,"yes","CHECK")</f>
        <v/>
      </c>
      <c r="E6" t="inlineStr">
        <is>
          <t>47 of 76 = 61.8%, rounds to 62%.</t>
        </is>
      </c>
    </row>
    <row r="7" ht="28" customHeight="1">
      <c r="A7" s="7" t="inlineStr">
        <is>
          <t>Share using genetic or metabolic models</t>
        </is>
      </c>
      <c r="B7" s="11">
        <f>COUNTIFS(Experiments!$K$2:$K$79,"Genetic / metabolic",Experiments!$T$2:$T$79,"yes")/B3</f>
        <v/>
      </c>
      <c r="C7" s="12" t="n">
        <v>0.13</v>
      </c>
      <c r="D7" s="10">
        <f>IF(ABS(B7-C7)&lt;=0.005+0.000000001,"yes","CHECK")</f>
        <v/>
      </c>
      <c r="E7" s="13" t="inlineStr">
        <is>
          <t>10 of 76 = 13.2%. The text should read 13%; the earlier 12% referred to 10 of 80 before infliximab and adalimumab were removed.</t>
        </is>
      </c>
    </row>
    <row r="8">
      <c r="A8" s="7" t="inlineStr">
        <is>
          <t>Experiments with a single dose</t>
        </is>
      </c>
      <c r="B8" s="8">
        <f>COUNTIFS(Experiments!$O$2:$O$79,"Single dose",Experiments!$T$2:$T$79,"yes")</f>
        <v/>
      </c>
      <c r="C8" s="9" t="n">
        <v>26</v>
      </c>
      <c r="D8" s="10">
        <f>IF(ABS(B8-C8)&lt;=0+0.000000001,"yes","CHECK")</f>
        <v/>
      </c>
      <c r="E8" t="inlineStr">
        <is>
          <t>26 of 76 experiments used a single dose.</t>
        </is>
      </c>
    </row>
    <row r="9">
      <c r="A9" s="7" t="inlineStr">
        <is>
          <t>Repeated-dose regimens lasting 4 weeks or less</t>
        </is>
      </c>
      <c r="B9" s="11">
        <f>COUNTIFS(Experiments!$N$2:$N$79,"&gt;1",Experiments!$N$2:$N$79,"&lt;=28",Experiments!$T$2:$T$79,"yes")/COUNTIFS(Experiments!$N$2:$N$79,"&gt;1",Experiments!$T$2:$T$79,"yes")</f>
        <v/>
      </c>
      <c r="C9" s="12" t="n">
        <v>0.6899999999999999</v>
      </c>
      <c r="D9" s="10">
        <f>IF(ABS(B9-C9)&lt;=0.005+0.000000001,"yes","CHECK")</f>
        <v/>
      </c>
      <c r="E9" t="inlineStr">
        <is>
          <t>34 of 49 repeated-dose regimens lasted 28 days or less = 69.4%.</t>
        </is>
      </c>
    </row>
    <row r="12" ht="18" customHeight="1">
      <c r="A12" s="5" t="inlineStr">
        <is>
          <t>Experiments per drug class (wheel sectors, sorted by drug class)</t>
        </is>
      </c>
    </row>
    <row r="13" ht="28" customHeight="1">
      <c r="A13" s="6" t="inlineStr">
        <is>
          <t>Drug class</t>
        </is>
      </c>
      <c r="B13" s="6" t="inlineStr">
        <is>
          <t>Pathway</t>
        </is>
      </c>
      <c r="C13" s="6" t="inlineStr">
        <is>
          <t>Experiments</t>
        </is>
      </c>
      <c r="D13" s="6" t="inlineStr">
        <is>
          <t>Systemic</t>
        </is>
      </c>
      <c r="E13" s="6" t="inlineStr">
        <is>
          <t>Intravitreal</t>
        </is>
      </c>
      <c r="F13" s="6" t="inlineStr">
        <is>
          <t>Topical</t>
        </is>
      </c>
      <c r="G13" s="6" t="inlineStr">
        <is>
          <t>Subconj. / retrobulbar</t>
        </is>
      </c>
      <c r="H13" s="6" t="inlineStr">
        <is>
          <t>Systemic + intravitreal</t>
        </is>
      </c>
      <c r="I13" s="6" t="inlineStr">
        <is>
          <t>Acute injury</t>
        </is>
      </c>
      <c r="J13" s="6" t="inlineStr">
        <is>
          <t>Induced OHT</t>
        </is>
      </c>
      <c r="K13" s="6" t="inlineStr">
        <is>
          <t>Genetic / metabolic</t>
        </is>
      </c>
      <c r="L13" s="6" t="inlineStr">
        <is>
          <t>Single dose</t>
        </is>
      </c>
      <c r="M13" s="6" t="inlineStr">
        <is>
          <t>Repeated dosing</t>
        </is>
      </c>
      <c r="N13" s="6" t="inlineStr">
        <is>
          <t>Duration not reported</t>
        </is>
      </c>
    </row>
    <row r="14">
      <c r="A14" s="7" t="inlineStr">
        <is>
          <t>TNF-α</t>
        </is>
      </c>
      <c r="B14" s="7">
        <f>INDEX('Drug classes'!$B$2:$B$20,MATCH(A14,'Drug classes'!$A$2:$A$20,0))</f>
        <v/>
      </c>
      <c r="C14" s="7">
        <f>COUNTIFS(Experiments!$D$2:$D$79,A14,Experiments!$T$2:$T$79,"yes")</f>
        <v/>
      </c>
      <c r="D14" s="7">
        <f>COUNTIFS(Experiments!$D$2:$D$79,$A14,Experiments!$L$2:$L$79,"Systemic",Experiments!$T$2:$T$79,"yes")</f>
        <v/>
      </c>
      <c r="E14" s="7">
        <f>COUNTIFS(Experiments!$D$2:$D$79,$A14,Experiments!$L$2:$L$79,"Intravitreal",Experiments!$T$2:$T$79,"yes")</f>
        <v/>
      </c>
      <c r="F14" s="7">
        <f>COUNTIFS(Experiments!$D$2:$D$79,$A14,Experiments!$L$2:$L$79,"Topical",Experiments!$T$2:$T$79,"yes")</f>
        <v/>
      </c>
      <c r="G14" s="7">
        <f>COUNTIFS(Experiments!$D$2:$D$79,$A14,Experiments!$L$2:$L$79,"Periocular",Experiments!$T$2:$T$79,"yes")</f>
        <v/>
      </c>
      <c r="H14" s="7">
        <f>COUNTIFS(Experiments!$D$2:$D$79,$A14,Experiments!$L$2:$L$79,"Combined",Experiments!$T$2:$T$79,"yes")</f>
        <v/>
      </c>
      <c r="I14" s="7">
        <f>COUNTIFS(Experiments!$D$2:$D$79,$A14,Experiments!$K$2:$K$79,"Acute injury",Experiments!$T$2:$T$79,"yes")</f>
        <v/>
      </c>
      <c r="J14" s="7">
        <f>COUNTIFS(Experiments!$D$2:$D$79,$A14,Experiments!$K$2:$K$79,"Induced OHT",Experiments!$T$2:$T$79,"yes")</f>
        <v/>
      </c>
      <c r="K14" s="7">
        <f>COUNTIFS(Experiments!$D$2:$D$79,$A14,Experiments!$K$2:$K$79,"Genetic / metabolic",Experiments!$T$2:$T$79,"yes")</f>
        <v/>
      </c>
      <c r="L14" s="7">
        <f>COUNTIFS(Experiments!$D$2:$D$79,$A14,Experiments!$O$2:$O$79,"Single dose",Experiments!$T$2:$T$79,"yes")</f>
        <v/>
      </c>
      <c r="M14" s="7">
        <f>COUNTIFS(Experiments!$D$2:$D$79,$A14,Experiments!$N$2:$N$79,"&gt;1",Experiments!$T$2:$T$79,"yes")</f>
        <v/>
      </c>
      <c r="N14" s="7">
        <f>COUNTIFS(Experiments!$D$2:$D$79,$A14,Experiments!$O$2:$O$79,"Not reported",Experiments!$T$2:$T$79,"yes")</f>
        <v/>
      </c>
    </row>
    <row r="15">
      <c r="A15" s="7" t="inlineStr">
        <is>
          <t>IL-1β</t>
        </is>
      </c>
      <c r="B15" s="7">
        <f>INDEX('Drug classes'!$B$2:$B$20,MATCH(A15,'Drug classes'!$A$2:$A$20,0))</f>
        <v/>
      </c>
      <c r="C15" s="7">
        <f>COUNTIFS(Experiments!$D$2:$D$79,A15,Experiments!$T$2:$T$79,"yes")</f>
        <v/>
      </c>
      <c r="D15" s="7">
        <f>COUNTIFS(Experiments!$D$2:$D$79,$A15,Experiments!$L$2:$L$79,"Systemic",Experiments!$T$2:$T$79,"yes")</f>
        <v/>
      </c>
      <c r="E15" s="7">
        <f>COUNTIFS(Experiments!$D$2:$D$79,$A15,Experiments!$L$2:$L$79,"Intravitreal",Experiments!$T$2:$T$79,"yes")</f>
        <v/>
      </c>
      <c r="F15" s="7">
        <f>COUNTIFS(Experiments!$D$2:$D$79,$A15,Experiments!$L$2:$L$79,"Topical",Experiments!$T$2:$T$79,"yes")</f>
        <v/>
      </c>
      <c r="G15" s="7">
        <f>COUNTIFS(Experiments!$D$2:$D$79,$A15,Experiments!$L$2:$L$79,"Periocular",Experiments!$T$2:$T$79,"yes")</f>
        <v/>
      </c>
      <c r="H15" s="7">
        <f>COUNTIFS(Experiments!$D$2:$D$79,$A15,Experiments!$L$2:$L$79,"Combined",Experiments!$T$2:$T$79,"yes")</f>
        <v/>
      </c>
      <c r="I15" s="7">
        <f>COUNTIFS(Experiments!$D$2:$D$79,$A15,Experiments!$K$2:$K$79,"Acute injury",Experiments!$T$2:$T$79,"yes")</f>
        <v/>
      </c>
      <c r="J15" s="7">
        <f>COUNTIFS(Experiments!$D$2:$D$79,$A15,Experiments!$K$2:$K$79,"Induced OHT",Experiments!$T$2:$T$79,"yes")</f>
        <v/>
      </c>
      <c r="K15" s="7">
        <f>COUNTIFS(Experiments!$D$2:$D$79,$A15,Experiments!$K$2:$K$79,"Genetic / metabolic",Experiments!$T$2:$T$79,"yes")</f>
        <v/>
      </c>
      <c r="L15" s="7">
        <f>COUNTIFS(Experiments!$D$2:$D$79,$A15,Experiments!$O$2:$O$79,"Single dose",Experiments!$T$2:$T$79,"yes")</f>
        <v/>
      </c>
      <c r="M15" s="7">
        <f>COUNTIFS(Experiments!$D$2:$D$79,$A15,Experiments!$N$2:$N$79,"&gt;1",Experiments!$T$2:$T$79,"yes")</f>
        <v/>
      </c>
      <c r="N15" s="7">
        <f>COUNTIFS(Experiments!$D$2:$D$79,$A15,Experiments!$O$2:$O$79,"Not reported",Experiments!$T$2:$T$79,"yes")</f>
        <v/>
      </c>
    </row>
    <row r="16">
      <c r="A16" s="7" t="inlineStr">
        <is>
          <t>IL-6</t>
        </is>
      </c>
      <c r="B16" s="7">
        <f>INDEX('Drug classes'!$B$2:$B$20,MATCH(A16,'Drug classes'!$A$2:$A$20,0))</f>
        <v/>
      </c>
      <c r="C16" s="7">
        <f>COUNTIFS(Experiments!$D$2:$D$79,A16,Experiments!$T$2:$T$79,"yes")</f>
        <v/>
      </c>
      <c r="D16" s="7">
        <f>COUNTIFS(Experiments!$D$2:$D$79,$A16,Experiments!$L$2:$L$79,"Systemic",Experiments!$T$2:$T$79,"yes")</f>
        <v/>
      </c>
      <c r="E16" s="7">
        <f>COUNTIFS(Experiments!$D$2:$D$79,$A16,Experiments!$L$2:$L$79,"Intravitreal",Experiments!$T$2:$T$79,"yes")</f>
        <v/>
      </c>
      <c r="F16" s="7">
        <f>COUNTIFS(Experiments!$D$2:$D$79,$A16,Experiments!$L$2:$L$79,"Topical",Experiments!$T$2:$T$79,"yes")</f>
        <v/>
      </c>
      <c r="G16" s="7">
        <f>COUNTIFS(Experiments!$D$2:$D$79,$A16,Experiments!$L$2:$L$79,"Periocular",Experiments!$T$2:$T$79,"yes")</f>
        <v/>
      </c>
      <c r="H16" s="7">
        <f>COUNTIFS(Experiments!$D$2:$D$79,$A16,Experiments!$L$2:$L$79,"Combined",Experiments!$T$2:$T$79,"yes")</f>
        <v/>
      </c>
      <c r="I16" s="7">
        <f>COUNTIFS(Experiments!$D$2:$D$79,$A16,Experiments!$K$2:$K$79,"Acute injury",Experiments!$T$2:$T$79,"yes")</f>
        <v/>
      </c>
      <c r="J16" s="7">
        <f>COUNTIFS(Experiments!$D$2:$D$79,$A16,Experiments!$K$2:$K$79,"Induced OHT",Experiments!$T$2:$T$79,"yes")</f>
        <v/>
      </c>
      <c r="K16" s="7">
        <f>COUNTIFS(Experiments!$D$2:$D$79,$A16,Experiments!$K$2:$K$79,"Genetic / metabolic",Experiments!$T$2:$T$79,"yes")</f>
        <v/>
      </c>
      <c r="L16" s="7">
        <f>COUNTIFS(Experiments!$D$2:$D$79,$A16,Experiments!$O$2:$O$79,"Single dose",Experiments!$T$2:$T$79,"yes")</f>
        <v/>
      </c>
      <c r="M16" s="7">
        <f>COUNTIFS(Experiments!$D$2:$D$79,$A16,Experiments!$N$2:$N$79,"&gt;1",Experiments!$T$2:$T$79,"yes")</f>
        <v/>
      </c>
      <c r="N16" s="7">
        <f>COUNTIFS(Experiments!$D$2:$D$79,$A16,Experiments!$O$2:$O$79,"Not reported",Experiments!$T$2:$T$79,"yes")</f>
        <v/>
      </c>
    </row>
    <row r="17">
      <c r="A17" s="7" t="inlineStr">
        <is>
          <t>RIPK1/3</t>
        </is>
      </c>
      <c r="B17" s="7">
        <f>INDEX('Drug classes'!$B$2:$B$20,MATCH(A17,'Drug classes'!$A$2:$A$20,0))</f>
        <v/>
      </c>
      <c r="C17" s="7">
        <f>COUNTIFS(Experiments!$D$2:$D$79,A17,Experiments!$T$2:$T$79,"yes")</f>
        <v/>
      </c>
      <c r="D17" s="7">
        <f>COUNTIFS(Experiments!$D$2:$D$79,$A17,Experiments!$L$2:$L$79,"Systemic",Experiments!$T$2:$T$79,"yes")</f>
        <v/>
      </c>
      <c r="E17" s="7">
        <f>COUNTIFS(Experiments!$D$2:$D$79,$A17,Experiments!$L$2:$L$79,"Intravitreal",Experiments!$T$2:$T$79,"yes")</f>
        <v/>
      </c>
      <c r="F17" s="7">
        <f>COUNTIFS(Experiments!$D$2:$D$79,$A17,Experiments!$L$2:$L$79,"Topical",Experiments!$T$2:$T$79,"yes")</f>
        <v/>
      </c>
      <c r="G17" s="7">
        <f>COUNTIFS(Experiments!$D$2:$D$79,$A17,Experiments!$L$2:$L$79,"Periocular",Experiments!$T$2:$T$79,"yes")</f>
        <v/>
      </c>
      <c r="H17" s="7">
        <f>COUNTIFS(Experiments!$D$2:$D$79,$A17,Experiments!$L$2:$L$79,"Combined",Experiments!$T$2:$T$79,"yes")</f>
        <v/>
      </c>
      <c r="I17" s="7">
        <f>COUNTIFS(Experiments!$D$2:$D$79,$A17,Experiments!$K$2:$K$79,"Acute injury",Experiments!$T$2:$T$79,"yes")</f>
        <v/>
      </c>
      <c r="J17" s="7">
        <f>COUNTIFS(Experiments!$D$2:$D$79,$A17,Experiments!$K$2:$K$79,"Induced OHT",Experiments!$T$2:$T$79,"yes")</f>
        <v/>
      </c>
      <c r="K17" s="7">
        <f>COUNTIFS(Experiments!$D$2:$D$79,$A17,Experiments!$K$2:$K$79,"Genetic / metabolic",Experiments!$T$2:$T$79,"yes")</f>
        <v/>
      </c>
      <c r="L17" s="7">
        <f>COUNTIFS(Experiments!$D$2:$D$79,$A17,Experiments!$O$2:$O$79,"Single dose",Experiments!$T$2:$T$79,"yes")</f>
        <v/>
      </c>
      <c r="M17" s="7">
        <f>COUNTIFS(Experiments!$D$2:$D$79,$A17,Experiments!$N$2:$N$79,"&gt;1",Experiments!$T$2:$T$79,"yes")</f>
        <v/>
      </c>
      <c r="N17" s="7">
        <f>COUNTIFS(Experiments!$D$2:$D$79,$A17,Experiments!$O$2:$O$79,"Not reported",Experiments!$T$2:$T$79,"yes")</f>
        <v/>
      </c>
    </row>
    <row r="18">
      <c r="A18" s="7" t="inlineStr">
        <is>
          <t>p38 MAPK</t>
        </is>
      </c>
      <c r="B18" s="7">
        <f>INDEX('Drug classes'!$B$2:$B$20,MATCH(A18,'Drug classes'!$A$2:$A$20,0))</f>
        <v/>
      </c>
      <c r="C18" s="7">
        <f>COUNTIFS(Experiments!$D$2:$D$79,A18,Experiments!$T$2:$T$79,"yes")</f>
        <v/>
      </c>
      <c r="D18" s="7">
        <f>COUNTIFS(Experiments!$D$2:$D$79,$A18,Experiments!$L$2:$L$79,"Systemic",Experiments!$T$2:$T$79,"yes")</f>
        <v/>
      </c>
      <c r="E18" s="7">
        <f>COUNTIFS(Experiments!$D$2:$D$79,$A18,Experiments!$L$2:$L$79,"Intravitreal",Experiments!$T$2:$T$79,"yes")</f>
        <v/>
      </c>
      <c r="F18" s="7">
        <f>COUNTIFS(Experiments!$D$2:$D$79,$A18,Experiments!$L$2:$L$79,"Topical",Experiments!$T$2:$T$79,"yes")</f>
        <v/>
      </c>
      <c r="G18" s="7">
        <f>COUNTIFS(Experiments!$D$2:$D$79,$A18,Experiments!$L$2:$L$79,"Periocular",Experiments!$T$2:$T$79,"yes")</f>
        <v/>
      </c>
      <c r="H18" s="7">
        <f>COUNTIFS(Experiments!$D$2:$D$79,$A18,Experiments!$L$2:$L$79,"Combined",Experiments!$T$2:$T$79,"yes")</f>
        <v/>
      </c>
      <c r="I18" s="7">
        <f>COUNTIFS(Experiments!$D$2:$D$79,$A18,Experiments!$K$2:$K$79,"Acute injury",Experiments!$T$2:$T$79,"yes")</f>
        <v/>
      </c>
      <c r="J18" s="7">
        <f>COUNTIFS(Experiments!$D$2:$D$79,$A18,Experiments!$K$2:$K$79,"Induced OHT",Experiments!$T$2:$T$79,"yes")</f>
        <v/>
      </c>
      <c r="K18" s="7">
        <f>COUNTIFS(Experiments!$D$2:$D$79,$A18,Experiments!$K$2:$K$79,"Genetic / metabolic",Experiments!$T$2:$T$79,"yes")</f>
        <v/>
      </c>
      <c r="L18" s="7">
        <f>COUNTIFS(Experiments!$D$2:$D$79,$A18,Experiments!$O$2:$O$79,"Single dose",Experiments!$T$2:$T$79,"yes")</f>
        <v/>
      </c>
      <c r="M18" s="7">
        <f>COUNTIFS(Experiments!$D$2:$D$79,$A18,Experiments!$N$2:$N$79,"&gt;1",Experiments!$T$2:$T$79,"yes")</f>
        <v/>
      </c>
      <c r="N18" s="7">
        <f>COUNTIFS(Experiments!$D$2:$D$79,$A18,Experiments!$O$2:$O$79,"Not reported",Experiments!$T$2:$T$79,"yes")</f>
        <v/>
      </c>
    </row>
    <row r="19">
      <c r="A19" s="7" t="inlineStr">
        <is>
          <t>JNK</t>
        </is>
      </c>
      <c r="B19" s="7">
        <f>INDEX('Drug classes'!$B$2:$B$20,MATCH(A19,'Drug classes'!$A$2:$A$20,0))</f>
        <v/>
      </c>
      <c r="C19" s="7">
        <f>COUNTIFS(Experiments!$D$2:$D$79,A19,Experiments!$T$2:$T$79,"yes")</f>
        <v/>
      </c>
      <c r="D19" s="7">
        <f>COUNTIFS(Experiments!$D$2:$D$79,$A19,Experiments!$L$2:$L$79,"Systemic",Experiments!$T$2:$T$79,"yes")</f>
        <v/>
      </c>
      <c r="E19" s="7">
        <f>COUNTIFS(Experiments!$D$2:$D$79,$A19,Experiments!$L$2:$L$79,"Intravitreal",Experiments!$T$2:$T$79,"yes")</f>
        <v/>
      </c>
      <c r="F19" s="7">
        <f>COUNTIFS(Experiments!$D$2:$D$79,$A19,Experiments!$L$2:$L$79,"Topical",Experiments!$T$2:$T$79,"yes")</f>
        <v/>
      </c>
      <c r="G19" s="7">
        <f>COUNTIFS(Experiments!$D$2:$D$79,$A19,Experiments!$L$2:$L$79,"Periocular",Experiments!$T$2:$T$79,"yes")</f>
        <v/>
      </c>
      <c r="H19" s="7">
        <f>COUNTIFS(Experiments!$D$2:$D$79,$A19,Experiments!$L$2:$L$79,"Combined",Experiments!$T$2:$T$79,"yes")</f>
        <v/>
      </c>
      <c r="I19" s="7">
        <f>COUNTIFS(Experiments!$D$2:$D$79,$A19,Experiments!$K$2:$K$79,"Acute injury",Experiments!$T$2:$T$79,"yes")</f>
        <v/>
      </c>
      <c r="J19" s="7">
        <f>COUNTIFS(Experiments!$D$2:$D$79,$A19,Experiments!$K$2:$K$79,"Induced OHT",Experiments!$T$2:$T$79,"yes")</f>
        <v/>
      </c>
      <c r="K19" s="7">
        <f>COUNTIFS(Experiments!$D$2:$D$79,$A19,Experiments!$K$2:$K$79,"Genetic / metabolic",Experiments!$T$2:$T$79,"yes")</f>
        <v/>
      </c>
      <c r="L19" s="7">
        <f>COUNTIFS(Experiments!$D$2:$D$79,$A19,Experiments!$O$2:$O$79,"Single dose",Experiments!$T$2:$T$79,"yes")</f>
        <v/>
      </c>
      <c r="M19" s="7">
        <f>COUNTIFS(Experiments!$D$2:$D$79,$A19,Experiments!$N$2:$N$79,"&gt;1",Experiments!$T$2:$T$79,"yes")</f>
        <v/>
      </c>
      <c r="N19" s="7">
        <f>COUNTIFS(Experiments!$D$2:$D$79,$A19,Experiments!$O$2:$O$79,"Not reported",Experiments!$T$2:$T$79,"yes")</f>
        <v/>
      </c>
    </row>
    <row r="20">
      <c r="A20" s="7" t="inlineStr">
        <is>
          <t>TLR4</t>
        </is>
      </c>
      <c r="B20" s="7">
        <f>INDEX('Drug classes'!$B$2:$B$20,MATCH(A20,'Drug classes'!$A$2:$A$20,0))</f>
        <v/>
      </c>
      <c r="C20" s="7">
        <f>COUNTIFS(Experiments!$D$2:$D$79,A20,Experiments!$T$2:$T$79,"yes")</f>
        <v/>
      </c>
      <c r="D20" s="7">
        <f>COUNTIFS(Experiments!$D$2:$D$79,$A20,Experiments!$L$2:$L$79,"Systemic",Experiments!$T$2:$T$79,"yes")</f>
        <v/>
      </c>
      <c r="E20" s="7">
        <f>COUNTIFS(Experiments!$D$2:$D$79,$A20,Experiments!$L$2:$L$79,"Intravitreal",Experiments!$T$2:$T$79,"yes")</f>
        <v/>
      </c>
      <c r="F20" s="7">
        <f>COUNTIFS(Experiments!$D$2:$D$79,$A20,Experiments!$L$2:$L$79,"Topical",Experiments!$T$2:$T$79,"yes")</f>
        <v/>
      </c>
      <c r="G20" s="7">
        <f>COUNTIFS(Experiments!$D$2:$D$79,$A20,Experiments!$L$2:$L$79,"Periocular",Experiments!$T$2:$T$79,"yes")</f>
        <v/>
      </c>
      <c r="H20" s="7">
        <f>COUNTIFS(Experiments!$D$2:$D$79,$A20,Experiments!$L$2:$L$79,"Combined",Experiments!$T$2:$T$79,"yes")</f>
        <v/>
      </c>
      <c r="I20" s="7">
        <f>COUNTIFS(Experiments!$D$2:$D$79,$A20,Experiments!$K$2:$K$79,"Acute injury",Experiments!$T$2:$T$79,"yes")</f>
        <v/>
      </c>
      <c r="J20" s="7">
        <f>COUNTIFS(Experiments!$D$2:$D$79,$A20,Experiments!$K$2:$K$79,"Induced OHT",Experiments!$T$2:$T$79,"yes")</f>
        <v/>
      </c>
      <c r="K20" s="7">
        <f>COUNTIFS(Experiments!$D$2:$D$79,$A20,Experiments!$K$2:$K$79,"Genetic / metabolic",Experiments!$T$2:$T$79,"yes")</f>
        <v/>
      </c>
      <c r="L20" s="7">
        <f>COUNTIFS(Experiments!$D$2:$D$79,$A20,Experiments!$O$2:$O$79,"Single dose",Experiments!$T$2:$T$79,"yes")</f>
        <v/>
      </c>
      <c r="M20" s="7">
        <f>COUNTIFS(Experiments!$D$2:$D$79,$A20,Experiments!$N$2:$N$79,"&gt;1",Experiments!$T$2:$T$79,"yes")</f>
        <v/>
      </c>
      <c r="N20" s="7">
        <f>COUNTIFS(Experiments!$D$2:$D$79,$A20,Experiments!$O$2:$O$79,"Not reported",Experiments!$T$2:$T$79,"yes")</f>
        <v/>
      </c>
    </row>
    <row r="21">
      <c r="A21" s="7" t="inlineStr">
        <is>
          <t>NF-κB</t>
        </is>
      </c>
      <c r="B21" s="7">
        <f>INDEX('Drug classes'!$B$2:$B$20,MATCH(A21,'Drug classes'!$A$2:$A$20,0))</f>
        <v/>
      </c>
      <c r="C21" s="7">
        <f>COUNTIFS(Experiments!$D$2:$D$79,A21,Experiments!$T$2:$T$79,"yes")</f>
        <v/>
      </c>
      <c r="D21" s="7">
        <f>COUNTIFS(Experiments!$D$2:$D$79,$A21,Experiments!$L$2:$L$79,"Systemic",Experiments!$T$2:$T$79,"yes")</f>
        <v/>
      </c>
      <c r="E21" s="7">
        <f>COUNTIFS(Experiments!$D$2:$D$79,$A21,Experiments!$L$2:$L$79,"Intravitreal",Experiments!$T$2:$T$79,"yes")</f>
        <v/>
      </c>
      <c r="F21" s="7">
        <f>COUNTIFS(Experiments!$D$2:$D$79,$A21,Experiments!$L$2:$L$79,"Topical",Experiments!$T$2:$T$79,"yes")</f>
        <v/>
      </c>
      <c r="G21" s="7">
        <f>COUNTIFS(Experiments!$D$2:$D$79,$A21,Experiments!$L$2:$L$79,"Periocular",Experiments!$T$2:$T$79,"yes")</f>
        <v/>
      </c>
      <c r="H21" s="7">
        <f>COUNTIFS(Experiments!$D$2:$D$79,$A21,Experiments!$L$2:$L$79,"Combined",Experiments!$T$2:$T$79,"yes")</f>
        <v/>
      </c>
      <c r="I21" s="7">
        <f>COUNTIFS(Experiments!$D$2:$D$79,$A21,Experiments!$K$2:$K$79,"Acute injury",Experiments!$T$2:$T$79,"yes")</f>
        <v/>
      </c>
      <c r="J21" s="7">
        <f>COUNTIFS(Experiments!$D$2:$D$79,$A21,Experiments!$K$2:$K$79,"Induced OHT",Experiments!$T$2:$T$79,"yes")</f>
        <v/>
      </c>
      <c r="K21" s="7">
        <f>COUNTIFS(Experiments!$D$2:$D$79,$A21,Experiments!$K$2:$K$79,"Genetic / metabolic",Experiments!$T$2:$T$79,"yes")</f>
        <v/>
      </c>
      <c r="L21" s="7">
        <f>COUNTIFS(Experiments!$D$2:$D$79,$A21,Experiments!$O$2:$O$79,"Single dose",Experiments!$T$2:$T$79,"yes")</f>
        <v/>
      </c>
      <c r="M21" s="7">
        <f>COUNTIFS(Experiments!$D$2:$D$79,$A21,Experiments!$N$2:$N$79,"&gt;1",Experiments!$T$2:$T$79,"yes")</f>
        <v/>
      </c>
      <c r="N21" s="7">
        <f>COUNTIFS(Experiments!$D$2:$D$79,$A21,Experiments!$O$2:$O$79,"Not reported",Experiments!$T$2:$T$79,"yes")</f>
        <v/>
      </c>
    </row>
    <row r="22">
      <c r="A22" s="7" t="inlineStr">
        <is>
          <t>P2X7</t>
        </is>
      </c>
      <c r="B22" s="7">
        <f>INDEX('Drug classes'!$B$2:$B$20,MATCH(A22,'Drug classes'!$A$2:$A$20,0))</f>
        <v/>
      </c>
      <c r="C22" s="7">
        <f>COUNTIFS(Experiments!$D$2:$D$79,A22,Experiments!$T$2:$T$79,"yes")</f>
        <v/>
      </c>
      <c r="D22" s="7">
        <f>COUNTIFS(Experiments!$D$2:$D$79,$A22,Experiments!$L$2:$L$79,"Systemic",Experiments!$T$2:$T$79,"yes")</f>
        <v/>
      </c>
      <c r="E22" s="7">
        <f>COUNTIFS(Experiments!$D$2:$D$79,$A22,Experiments!$L$2:$L$79,"Intravitreal",Experiments!$T$2:$T$79,"yes")</f>
        <v/>
      </c>
      <c r="F22" s="7">
        <f>COUNTIFS(Experiments!$D$2:$D$79,$A22,Experiments!$L$2:$L$79,"Topical",Experiments!$T$2:$T$79,"yes")</f>
        <v/>
      </c>
      <c r="G22" s="7">
        <f>COUNTIFS(Experiments!$D$2:$D$79,$A22,Experiments!$L$2:$L$79,"Periocular",Experiments!$T$2:$T$79,"yes")</f>
        <v/>
      </c>
      <c r="H22" s="7">
        <f>COUNTIFS(Experiments!$D$2:$D$79,$A22,Experiments!$L$2:$L$79,"Combined",Experiments!$T$2:$T$79,"yes")</f>
        <v/>
      </c>
      <c r="I22" s="7">
        <f>COUNTIFS(Experiments!$D$2:$D$79,$A22,Experiments!$K$2:$K$79,"Acute injury",Experiments!$T$2:$T$79,"yes")</f>
        <v/>
      </c>
      <c r="J22" s="7">
        <f>COUNTIFS(Experiments!$D$2:$D$79,$A22,Experiments!$K$2:$K$79,"Induced OHT",Experiments!$T$2:$T$79,"yes")</f>
        <v/>
      </c>
      <c r="K22" s="7">
        <f>COUNTIFS(Experiments!$D$2:$D$79,$A22,Experiments!$K$2:$K$79,"Genetic / metabolic",Experiments!$T$2:$T$79,"yes")</f>
        <v/>
      </c>
      <c r="L22" s="7">
        <f>COUNTIFS(Experiments!$D$2:$D$79,$A22,Experiments!$O$2:$O$79,"Single dose",Experiments!$T$2:$T$79,"yes")</f>
        <v/>
      </c>
      <c r="M22" s="7">
        <f>COUNTIFS(Experiments!$D$2:$D$79,$A22,Experiments!$N$2:$N$79,"&gt;1",Experiments!$T$2:$T$79,"yes")</f>
        <v/>
      </c>
      <c r="N22" s="7">
        <f>COUNTIFS(Experiments!$D$2:$D$79,$A22,Experiments!$O$2:$O$79,"Not reported",Experiments!$T$2:$T$79,"yes")</f>
        <v/>
      </c>
    </row>
    <row r="23">
      <c r="A23" s="7" t="inlineStr">
        <is>
          <t>NLRP3 / ASC</t>
        </is>
      </c>
      <c r="B23" s="7">
        <f>INDEX('Drug classes'!$B$2:$B$20,MATCH(A23,'Drug classes'!$A$2:$A$20,0))</f>
        <v/>
      </c>
      <c r="C23" s="7">
        <f>COUNTIFS(Experiments!$D$2:$D$79,A23,Experiments!$T$2:$T$79,"yes")</f>
        <v/>
      </c>
      <c r="D23" s="7">
        <f>COUNTIFS(Experiments!$D$2:$D$79,$A23,Experiments!$L$2:$L$79,"Systemic",Experiments!$T$2:$T$79,"yes")</f>
        <v/>
      </c>
      <c r="E23" s="7">
        <f>COUNTIFS(Experiments!$D$2:$D$79,$A23,Experiments!$L$2:$L$79,"Intravitreal",Experiments!$T$2:$T$79,"yes")</f>
        <v/>
      </c>
      <c r="F23" s="7">
        <f>COUNTIFS(Experiments!$D$2:$D$79,$A23,Experiments!$L$2:$L$79,"Topical",Experiments!$T$2:$T$79,"yes")</f>
        <v/>
      </c>
      <c r="G23" s="7">
        <f>COUNTIFS(Experiments!$D$2:$D$79,$A23,Experiments!$L$2:$L$79,"Periocular",Experiments!$T$2:$T$79,"yes")</f>
        <v/>
      </c>
      <c r="H23" s="7">
        <f>COUNTIFS(Experiments!$D$2:$D$79,$A23,Experiments!$L$2:$L$79,"Combined",Experiments!$T$2:$T$79,"yes")</f>
        <v/>
      </c>
      <c r="I23" s="7">
        <f>COUNTIFS(Experiments!$D$2:$D$79,$A23,Experiments!$K$2:$K$79,"Acute injury",Experiments!$T$2:$T$79,"yes")</f>
        <v/>
      </c>
      <c r="J23" s="7">
        <f>COUNTIFS(Experiments!$D$2:$D$79,$A23,Experiments!$K$2:$K$79,"Induced OHT",Experiments!$T$2:$T$79,"yes")</f>
        <v/>
      </c>
      <c r="K23" s="7">
        <f>COUNTIFS(Experiments!$D$2:$D$79,$A23,Experiments!$K$2:$K$79,"Genetic / metabolic",Experiments!$T$2:$T$79,"yes")</f>
        <v/>
      </c>
      <c r="L23" s="7">
        <f>COUNTIFS(Experiments!$D$2:$D$79,$A23,Experiments!$O$2:$O$79,"Single dose",Experiments!$T$2:$T$79,"yes")</f>
        <v/>
      </c>
      <c r="M23" s="7">
        <f>COUNTIFS(Experiments!$D$2:$D$79,$A23,Experiments!$N$2:$N$79,"&gt;1",Experiments!$T$2:$T$79,"yes")</f>
        <v/>
      </c>
      <c r="N23" s="7">
        <f>COUNTIFS(Experiments!$D$2:$D$79,$A23,Experiments!$O$2:$O$79,"Not reported",Experiments!$T$2:$T$79,"yes")</f>
        <v/>
      </c>
    </row>
    <row r="24">
      <c r="A24" s="7" t="inlineStr">
        <is>
          <t>JAK/STAT3</t>
        </is>
      </c>
      <c r="B24" s="7">
        <f>INDEX('Drug classes'!$B$2:$B$20,MATCH(A24,'Drug classes'!$A$2:$A$20,0))</f>
        <v/>
      </c>
      <c r="C24" s="7">
        <f>COUNTIFS(Experiments!$D$2:$D$79,A24,Experiments!$T$2:$T$79,"yes")</f>
        <v/>
      </c>
      <c r="D24" s="7">
        <f>COUNTIFS(Experiments!$D$2:$D$79,$A24,Experiments!$L$2:$L$79,"Systemic",Experiments!$T$2:$T$79,"yes")</f>
        <v/>
      </c>
      <c r="E24" s="7">
        <f>COUNTIFS(Experiments!$D$2:$D$79,$A24,Experiments!$L$2:$L$79,"Intravitreal",Experiments!$T$2:$T$79,"yes")</f>
        <v/>
      </c>
      <c r="F24" s="7">
        <f>COUNTIFS(Experiments!$D$2:$D$79,$A24,Experiments!$L$2:$L$79,"Topical",Experiments!$T$2:$T$79,"yes")</f>
        <v/>
      </c>
      <c r="G24" s="7">
        <f>COUNTIFS(Experiments!$D$2:$D$79,$A24,Experiments!$L$2:$L$79,"Periocular",Experiments!$T$2:$T$79,"yes")</f>
        <v/>
      </c>
      <c r="H24" s="7">
        <f>COUNTIFS(Experiments!$D$2:$D$79,$A24,Experiments!$L$2:$L$79,"Combined",Experiments!$T$2:$T$79,"yes")</f>
        <v/>
      </c>
      <c r="I24" s="7">
        <f>COUNTIFS(Experiments!$D$2:$D$79,$A24,Experiments!$K$2:$K$79,"Acute injury",Experiments!$T$2:$T$79,"yes")</f>
        <v/>
      </c>
      <c r="J24" s="7">
        <f>COUNTIFS(Experiments!$D$2:$D$79,$A24,Experiments!$K$2:$K$79,"Induced OHT",Experiments!$T$2:$T$79,"yes")</f>
        <v/>
      </c>
      <c r="K24" s="7">
        <f>COUNTIFS(Experiments!$D$2:$D$79,$A24,Experiments!$K$2:$K$79,"Genetic / metabolic",Experiments!$T$2:$T$79,"yes")</f>
        <v/>
      </c>
      <c r="L24" s="7">
        <f>COUNTIFS(Experiments!$D$2:$D$79,$A24,Experiments!$O$2:$O$79,"Single dose",Experiments!$T$2:$T$79,"yes")</f>
        <v/>
      </c>
      <c r="M24" s="7">
        <f>COUNTIFS(Experiments!$D$2:$D$79,$A24,Experiments!$N$2:$N$79,"&gt;1",Experiments!$T$2:$T$79,"yes")</f>
        <v/>
      </c>
      <c r="N24" s="7">
        <f>COUNTIFS(Experiments!$D$2:$D$79,$A24,Experiments!$O$2:$O$79,"Not reported",Experiments!$T$2:$T$79,"yes")</f>
        <v/>
      </c>
    </row>
    <row r="25">
      <c r="A25" s="7" t="inlineStr">
        <is>
          <t>Glial inhibition</t>
        </is>
      </c>
      <c r="B25" s="7">
        <f>INDEX('Drug classes'!$B$2:$B$20,MATCH(A25,'Drug classes'!$A$2:$A$20,0))</f>
        <v/>
      </c>
      <c r="C25" s="7">
        <f>COUNTIFS(Experiments!$D$2:$D$79,A25,Experiments!$T$2:$T$79,"yes")</f>
        <v/>
      </c>
      <c r="D25" s="7">
        <f>COUNTIFS(Experiments!$D$2:$D$79,$A25,Experiments!$L$2:$L$79,"Systemic",Experiments!$T$2:$T$79,"yes")</f>
        <v/>
      </c>
      <c r="E25" s="7">
        <f>COUNTIFS(Experiments!$D$2:$D$79,$A25,Experiments!$L$2:$L$79,"Intravitreal",Experiments!$T$2:$T$79,"yes")</f>
        <v/>
      </c>
      <c r="F25" s="7">
        <f>COUNTIFS(Experiments!$D$2:$D$79,$A25,Experiments!$L$2:$L$79,"Topical",Experiments!$T$2:$T$79,"yes")</f>
        <v/>
      </c>
      <c r="G25" s="7">
        <f>COUNTIFS(Experiments!$D$2:$D$79,$A25,Experiments!$L$2:$L$79,"Periocular",Experiments!$T$2:$T$79,"yes")</f>
        <v/>
      </c>
      <c r="H25" s="7">
        <f>COUNTIFS(Experiments!$D$2:$D$79,$A25,Experiments!$L$2:$L$79,"Combined",Experiments!$T$2:$T$79,"yes")</f>
        <v/>
      </c>
      <c r="I25" s="7">
        <f>COUNTIFS(Experiments!$D$2:$D$79,$A25,Experiments!$K$2:$K$79,"Acute injury",Experiments!$T$2:$T$79,"yes")</f>
        <v/>
      </c>
      <c r="J25" s="7">
        <f>COUNTIFS(Experiments!$D$2:$D$79,$A25,Experiments!$K$2:$K$79,"Induced OHT",Experiments!$T$2:$T$79,"yes")</f>
        <v/>
      </c>
      <c r="K25" s="7">
        <f>COUNTIFS(Experiments!$D$2:$D$79,$A25,Experiments!$K$2:$K$79,"Genetic / metabolic",Experiments!$T$2:$T$79,"yes")</f>
        <v/>
      </c>
      <c r="L25" s="7">
        <f>COUNTIFS(Experiments!$D$2:$D$79,$A25,Experiments!$O$2:$O$79,"Single dose",Experiments!$T$2:$T$79,"yes")</f>
        <v/>
      </c>
      <c r="M25" s="7">
        <f>COUNTIFS(Experiments!$D$2:$D$79,$A25,Experiments!$N$2:$N$79,"&gt;1",Experiments!$T$2:$T$79,"yes")</f>
        <v/>
      </c>
      <c r="N25" s="7">
        <f>COUNTIFS(Experiments!$D$2:$D$79,$A25,Experiments!$O$2:$O$79,"Not reported",Experiments!$T$2:$T$79,"yes")</f>
        <v/>
      </c>
    </row>
    <row r="26">
      <c r="A26" s="7" t="inlineStr">
        <is>
          <t>Rho kinase</t>
        </is>
      </c>
      <c r="B26" s="7">
        <f>INDEX('Drug classes'!$B$2:$B$20,MATCH(A26,'Drug classes'!$A$2:$A$20,0))</f>
        <v/>
      </c>
      <c r="C26" s="7">
        <f>COUNTIFS(Experiments!$D$2:$D$79,A26,Experiments!$T$2:$T$79,"yes")</f>
        <v/>
      </c>
      <c r="D26" s="7">
        <f>COUNTIFS(Experiments!$D$2:$D$79,$A26,Experiments!$L$2:$L$79,"Systemic",Experiments!$T$2:$T$79,"yes")</f>
        <v/>
      </c>
      <c r="E26" s="7">
        <f>COUNTIFS(Experiments!$D$2:$D$79,$A26,Experiments!$L$2:$L$79,"Intravitreal",Experiments!$T$2:$T$79,"yes")</f>
        <v/>
      </c>
      <c r="F26" s="7">
        <f>COUNTIFS(Experiments!$D$2:$D$79,$A26,Experiments!$L$2:$L$79,"Topical",Experiments!$T$2:$T$79,"yes")</f>
        <v/>
      </c>
      <c r="G26" s="7">
        <f>COUNTIFS(Experiments!$D$2:$D$79,$A26,Experiments!$L$2:$L$79,"Periocular",Experiments!$T$2:$T$79,"yes")</f>
        <v/>
      </c>
      <c r="H26" s="7">
        <f>COUNTIFS(Experiments!$D$2:$D$79,$A26,Experiments!$L$2:$L$79,"Combined",Experiments!$T$2:$T$79,"yes")</f>
        <v/>
      </c>
      <c r="I26" s="7">
        <f>COUNTIFS(Experiments!$D$2:$D$79,$A26,Experiments!$K$2:$K$79,"Acute injury",Experiments!$T$2:$T$79,"yes")</f>
        <v/>
      </c>
      <c r="J26" s="7">
        <f>COUNTIFS(Experiments!$D$2:$D$79,$A26,Experiments!$K$2:$K$79,"Induced OHT",Experiments!$T$2:$T$79,"yes")</f>
        <v/>
      </c>
      <c r="K26" s="7">
        <f>COUNTIFS(Experiments!$D$2:$D$79,$A26,Experiments!$K$2:$K$79,"Genetic / metabolic",Experiments!$T$2:$T$79,"yes")</f>
        <v/>
      </c>
      <c r="L26" s="7">
        <f>COUNTIFS(Experiments!$D$2:$D$79,$A26,Experiments!$O$2:$O$79,"Single dose",Experiments!$T$2:$T$79,"yes")</f>
        <v/>
      </c>
      <c r="M26" s="7">
        <f>COUNTIFS(Experiments!$D$2:$D$79,$A26,Experiments!$N$2:$N$79,"&gt;1",Experiments!$T$2:$T$79,"yes")</f>
        <v/>
      </c>
      <c r="N26" s="7">
        <f>COUNTIFS(Experiments!$D$2:$D$79,$A26,Experiments!$O$2:$O$79,"Not reported",Experiments!$T$2:$T$79,"yes")</f>
        <v/>
      </c>
    </row>
    <row r="27">
      <c r="A27" s="7" t="inlineStr">
        <is>
          <t>PDE</t>
        </is>
      </c>
      <c r="B27" s="7">
        <f>INDEX('Drug classes'!$B$2:$B$20,MATCH(A27,'Drug classes'!$A$2:$A$20,0))</f>
        <v/>
      </c>
      <c r="C27" s="7">
        <f>COUNTIFS(Experiments!$D$2:$D$79,A27,Experiments!$T$2:$T$79,"yes")</f>
        <v/>
      </c>
      <c r="D27" s="7">
        <f>COUNTIFS(Experiments!$D$2:$D$79,$A27,Experiments!$L$2:$L$79,"Systemic",Experiments!$T$2:$T$79,"yes")</f>
        <v/>
      </c>
      <c r="E27" s="7">
        <f>COUNTIFS(Experiments!$D$2:$D$79,$A27,Experiments!$L$2:$L$79,"Intravitreal",Experiments!$T$2:$T$79,"yes")</f>
        <v/>
      </c>
      <c r="F27" s="7">
        <f>COUNTIFS(Experiments!$D$2:$D$79,$A27,Experiments!$L$2:$L$79,"Topical",Experiments!$T$2:$T$79,"yes")</f>
        <v/>
      </c>
      <c r="G27" s="7">
        <f>COUNTIFS(Experiments!$D$2:$D$79,$A27,Experiments!$L$2:$L$79,"Periocular",Experiments!$T$2:$T$79,"yes")</f>
        <v/>
      </c>
      <c r="H27" s="7">
        <f>COUNTIFS(Experiments!$D$2:$D$79,$A27,Experiments!$L$2:$L$79,"Combined",Experiments!$T$2:$T$79,"yes")</f>
        <v/>
      </c>
      <c r="I27" s="7">
        <f>COUNTIFS(Experiments!$D$2:$D$79,$A27,Experiments!$K$2:$K$79,"Acute injury",Experiments!$T$2:$T$79,"yes")</f>
        <v/>
      </c>
      <c r="J27" s="7">
        <f>COUNTIFS(Experiments!$D$2:$D$79,$A27,Experiments!$K$2:$K$79,"Induced OHT",Experiments!$T$2:$T$79,"yes")</f>
        <v/>
      </c>
      <c r="K27" s="7">
        <f>COUNTIFS(Experiments!$D$2:$D$79,$A27,Experiments!$K$2:$K$79,"Genetic / metabolic",Experiments!$T$2:$T$79,"yes")</f>
        <v/>
      </c>
      <c r="L27" s="7">
        <f>COUNTIFS(Experiments!$D$2:$D$79,$A27,Experiments!$O$2:$O$79,"Single dose",Experiments!$T$2:$T$79,"yes")</f>
        <v/>
      </c>
      <c r="M27" s="7">
        <f>COUNTIFS(Experiments!$D$2:$D$79,$A27,Experiments!$N$2:$N$79,"&gt;1",Experiments!$T$2:$T$79,"yes")</f>
        <v/>
      </c>
      <c r="N27" s="7">
        <f>COUNTIFS(Experiments!$D$2:$D$79,$A27,Experiments!$O$2:$O$79,"Not reported",Experiments!$T$2:$T$79,"yes")</f>
        <v/>
      </c>
    </row>
    <row r="28">
      <c r="A28" s="7" t="inlineStr">
        <is>
          <t>Antioxidant</t>
        </is>
      </c>
      <c r="B28" s="7">
        <f>INDEX('Drug classes'!$B$2:$B$20,MATCH(A28,'Drug classes'!$A$2:$A$20,0))</f>
        <v/>
      </c>
      <c r="C28" s="7">
        <f>COUNTIFS(Experiments!$D$2:$D$79,A28,Experiments!$T$2:$T$79,"yes")</f>
        <v/>
      </c>
      <c r="D28" s="7">
        <f>COUNTIFS(Experiments!$D$2:$D$79,$A28,Experiments!$L$2:$L$79,"Systemic",Experiments!$T$2:$T$79,"yes")</f>
        <v/>
      </c>
      <c r="E28" s="7">
        <f>COUNTIFS(Experiments!$D$2:$D$79,$A28,Experiments!$L$2:$L$79,"Intravitreal",Experiments!$T$2:$T$79,"yes")</f>
        <v/>
      </c>
      <c r="F28" s="7">
        <f>COUNTIFS(Experiments!$D$2:$D$79,$A28,Experiments!$L$2:$L$79,"Topical",Experiments!$T$2:$T$79,"yes")</f>
        <v/>
      </c>
      <c r="G28" s="7">
        <f>COUNTIFS(Experiments!$D$2:$D$79,$A28,Experiments!$L$2:$L$79,"Periocular",Experiments!$T$2:$T$79,"yes")</f>
        <v/>
      </c>
      <c r="H28" s="7">
        <f>COUNTIFS(Experiments!$D$2:$D$79,$A28,Experiments!$L$2:$L$79,"Combined",Experiments!$T$2:$T$79,"yes")</f>
        <v/>
      </c>
      <c r="I28" s="7">
        <f>COUNTIFS(Experiments!$D$2:$D$79,$A28,Experiments!$K$2:$K$79,"Acute injury",Experiments!$T$2:$T$79,"yes")</f>
        <v/>
      </c>
      <c r="J28" s="7">
        <f>COUNTIFS(Experiments!$D$2:$D$79,$A28,Experiments!$K$2:$K$79,"Induced OHT",Experiments!$T$2:$T$79,"yes")</f>
        <v/>
      </c>
      <c r="K28" s="7">
        <f>COUNTIFS(Experiments!$D$2:$D$79,$A28,Experiments!$K$2:$K$79,"Genetic / metabolic",Experiments!$T$2:$T$79,"yes")</f>
        <v/>
      </c>
      <c r="L28" s="7">
        <f>COUNTIFS(Experiments!$D$2:$D$79,$A28,Experiments!$O$2:$O$79,"Single dose",Experiments!$T$2:$T$79,"yes")</f>
        <v/>
      </c>
      <c r="M28" s="7">
        <f>COUNTIFS(Experiments!$D$2:$D$79,$A28,Experiments!$N$2:$N$79,"&gt;1",Experiments!$T$2:$T$79,"yes")</f>
        <v/>
      </c>
      <c r="N28" s="7">
        <f>COUNTIFS(Experiments!$D$2:$D$79,$A28,Experiments!$O$2:$O$79,"Not reported",Experiments!$T$2:$T$79,"yes")</f>
        <v/>
      </c>
    </row>
    <row r="29">
      <c r="A29" s="7" t="inlineStr">
        <is>
          <t>Calcineurin</t>
        </is>
      </c>
      <c r="B29" s="7">
        <f>INDEX('Drug classes'!$B$2:$B$20,MATCH(A29,'Drug classes'!$A$2:$A$20,0))</f>
        <v/>
      </c>
      <c r="C29" s="7">
        <f>COUNTIFS(Experiments!$D$2:$D$79,A29,Experiments!$T$2:$T$79,"yes")</f>
        <v/>
      </c>
      <c r="D29" s="7">
        <f>COUNTIFS(Experiments!$D$2:$D$79,$A29,Experiments!$L$2:$L$79,"Systemic",Experiments!$T$2:$T$79,"yes")</f>
        <v/>
      </c>
      <c r="E29" s="7">
        <f>COUNTIFS(Experiments!$D$2:$D$79,$A29,Experiments!$L$2:$L$79,"Intravitreal",Experiments!$T$2:$T$79,"yes")</f>
        <v/>
      </c>
      <c r="F29" s="7">
        <f>COUNTIFS(Experiments!$D$2:$D$79,$A29,Experiments!$L$2:$L$79,"Topical",Experiments!$T$2:$T$79,"yes")</f>
        <v/>
      </c>
      <c r="G29" s="7">
        <f>COUNTIFS(Experiments!$D$2:$D$79,$A29,Experiments!$L$2:$L$79,"Periocular",Experiments!$T$2:$T$79,"yes")</f>
        <v/>
      </c>
      <c r="H29" s="7">
        <f>COUNTIFS(Experiments!$D$2:$D$79,$A29,Experiments!$L$2:$L$79,"Combined",Experiments!$T$2:$T$79,"yes")</f>
        <v/>
      </c>
      <c r="I29" s="7">
        <f>COUNTIFS(Experiments!$D$2:$D$79,$A29,Experiments!$K$2:$K$79,"Acute injury",Experiments!$T$2:$T$79,"yes")</f>
        <v/>
      </c>
      <c r="J29" s="7">
        <f>COUNTIFS(Experiments!$D$2:$D$79,$A29,Experiments!$K$2:$K$79,"Induced OHT",Experiments!$T$2:$T$79,"yes")</f>
        <v/>
      </c>
      <c r="K29" s="7">
        <f>COUNTIFS(Experiments!$D$2:$D$79,$A29,Experiments!$K$2:$K$79,"Genetic / metabolic",Experiments!$T$2:$T$79,"yes")</f>
        <v/>
      </c>
      <c r="L29" s="7">
        <f>COUNTIFS(Experiments!$D$2:$D$79,$A29,Experiments!$O$2:$O$79,"Single dose",Experiments!$T$2:$T$79,"yes")</f>
        <v/>
      </c>
      <c r="M29" s="7">
        <f>COUNTIFS(Experiments!$D$2:$D$79,$A29,Experiments!$N$2:$N$79,"&gt;1",Experiments!$T$2:$T$79,"yes")</f>
        <v/>
      </c>
      <c r="N29" s="7">
        <f>COUNTIFS(Experiments!$D$2:$D$79,$A29,Experiments!$O$2:$O$79,"Not reported",Experiments!$T$2:$T$79,"yes")</f>
        <v/>
      </c>
    </row>
    <row r="30">
      <c r="A30" s="7" t="inlineStr">
        <is>
          <t>COX</t>
        </is>
      </c>
      <c r="B30" s="7">
        <f>INDEX('Drug classes'!$B$2:$B$20,MATCH(A30,'Drug classes'!$A$2:$A$20,0))</f>
        <v/>
      </c>
      <c r="C30" s="7">
        <f>COUNTIFS(Experiments!$D$2:$D$79,A30,Experiments!$T$2:$T$79,"yes")</f>
        <v/>
      </c>
      <c r="D30" s="7">
        <f>COUNTIFS(Experiments!$D$2:$D$79,$A30,Experiments!$L$2:$L$79,"Systemic",Experiments!$T$2:$T$79,"yes")</f>
        <v/>
      </c>
      <c r="E30" s="7">
        <f>COUNTIFS(Experiments!$D$2:$D$79,$A30,Experiments!$L$2:$L$79,"Intravitreal",Experiments!$T$2:$T$79,"yes")</f>
        <v/>
      </c>
      <c r="F30" s="7">
        <f>COUNTIFS(Experiments!$D$2:$D$79,$A30,Experiments!$L$2:$L$79,"Topical",Experiments!$T$2:$T$79,"yes")</f>
        <v/>
      </c>
      <c r="G30" s="7">
        <f>COUNTIFS(Experiments!$D$2:$D$79,$A30,Experiments!$L$2:$L$79,"Periocular",Experiments!$T$2:$T$79,"yes")</f>
        <v/>
      </c>
      <c r="H30" s="7">
        <f>COUNTIFS(Experiments!$D$2:$D$79,$A30,Experiments!$L$2:$L$79,"Combined",Experiments!$T$2:$T$79,"yes")</f>
        <v/>
      </c>
      <c r="I30" s="7">
        <f>COUNTIFS(Experiments!$D$2:$D$79,$A30,Experiments!$K$2:$K$79,"Acute injury",Experiments!$T$2:$T$79,"yes")</f>
        <v/>
      </c>
      <c r="J30" s="7">
        <f>COUNTIFS(Experiments!$D$2:$D$79,$A30,Experiments!$K$2:$K$79,"Induced OHT",Experiments!$T$2:$T$79,"yes")</f>
        <v/>
      </c>
      <c r="K30" s="7">
        <f>COUNTIFS(Experiments!$D$2:$D$79,$A30,Experiments!$K$2:$K$79,"Genetic / metabolic",Experiments!$T$2:$T$79,"yes")</f>
        <v/>
      </c>
      <c r="L30" s="7">
        <f>COUNTIFS(Experiments!$D$2:$D$79,$A30,Experiments!$O$2:$O$79,"Single dose",Experiments!$T$2:$T$79,"yes")</f>
        <v/>
      </c>
      <c r="M30" s="7">
        <f>COUNTIFS(Experiments!$D$2:$D$79,$A30,Experiments!$N$2:$N$79,"&gt;1",Experiments!$T$2:$T$79,"yes")</f>
        <v/>
      </c>
      <c r="N30" s="7">
        <f>COUNTIFS(Experiments!$D$2:$D$79,$A30,Experiments!$O$2:$O$79,"Not reported",Experiments!$T$2:$T$79,"yes")</f>
        <v/>
      </c>
    </row>
    <row r="31">
      <c r="A31" s="7" t="inlineStr">
        <is>
          <t>A2A receptor</t>
        </is>
      </c>
      <c r="B31" s="7">
        <f>INDEX('Drug classes'!$B$2:$B$20,MATCH(A31,'Drug classes'!$A$2:$A$20,0))</f>
        <v/>
      </c>
      <c r="C31" s="7">
        <f>COUNTIFS(Experiments!$D$2:$D$79,A31,Experiments!$T$2:$T$79,"yes")</f>
        <v/>
      </c>
      <c r="D31" s="7">
        <f>COUNTIFS(Experiments!$D$2:$D$79,$A31,Experiments!$L$2:$L$79,"Systemic",Experiments!$T$2:$T$79,"yes")</f>
        <v/>
      </c>
      <c r="E31" s="7">
        <f>COUNTIFS(Experiments!$D$2:$D$79,$A31,Experiments!$L$2:$L$79,"Intravitreal",Experiments!$T$2:$T$79,"yes")</f>
        <v/>
      </c>
      <c r="F31" s="7">
        <f>COUNTIFS(Experiments!$D$2:$D$79,$A31,Experiments!$L$2:$L$79,"Topical",Experiments!$T$2:$T$79,"yes")</f>
        <v/>
      </c>
      <c r="G31" s="7">
        <f>COUNTIFS(Experiments!$D$2:$D$79,$A31,Experiments!$L$2:$L$79,"Periocular",Experiments!$T$2:$T$79,"yes")</f>
        <v/>
      </c>
      <c r="H31" s="7">
        <f>COUNTIFS(Experiments!$D$2:$D$79,$A31,Experiments!$L$2:$L$79,"Combined",Experiments!$T$2:$T$79,"yes")</f>
        <v/>
      </c>
      <c r="I31" s="7">
        <f>COUNTIFS(Experiments!$D$2:$D$79,$A31,Experiments!$K$2:$K$79,"Acute injury",Experiments!$T$2:$T$79,"yes")</f>
        <v/>
      </c>
      <c r="J31" s="7">
        <f>COUNTIFS(Experiments!$D$2:$D$79,$A31,Experiments!$K$2:$K$79,"Induced OHT",Experiments!$T$2:$T$79,"yes")</f>
        <v/>
      </c>
      <c r="K31" s="7">
        <f>COUNTIFS(Experiments!$D$2:$D$79,$A31,Experiments!$K$2:$K$79,"Genetic / metabolic",Experiments!$T$2:$T$79,"yes")</f>
        <v/>
      </c>
      <c r="L31" s="7">
        <f>COUNTIFS(Experiments!$D$2:$D$79,$A31,Experiments!$O$2:$O$79,"Single dose",Experiments!$T$2:$T$79,"yes")</f>
        <v/>
      </c>
      <c r="M31" s="7">
        <f>COUNTIFS(Experiments!$D$2:$D$79,$A31,Experiments!$N$2:$N$79,"&gt;1",Experiments!$T$2:$T$79,"yes")</f>
        <v/>
      </c>
      <c r="N31" s="7">
        <f>COUNTIFS(Experiments!$D$2:$D$79,$A31,Experiments!$O$2:$O$79,"Not reported",Experiments!$T$2:$T$79,"yes")</f>
        <v/>
      </c>
    </row>
    <row r="32">
      <c r="A32" s="7" t="inlineStr">
        <is>
          <t>Antibiotic</t>
        </is>
      </c>
      <c r="B32" s="7">
        <f>INDEX('Drug classes'!$B$2:$B$20,MATCH(A32,'Drug classes'!$A$2:$A$20,0))</f>
        <v/>
      </c>
      <c r="C32" s="7">
        <f>COUNTIFS(Experiments!$D$2:$D$79,A32,Experiments!$T$2:$T$79,"yes")</f>
        <v/>
      </c>
      <c r="D32" s="7">
        <f>COUNTIFS(Experiments!$D$2:$D$79,$A32,Experiments!$L$2:$L$79,"Systemic",Experiments!$T$2:$T$79,"yes")</f>
        <v/>
      </c>
      <c r="E32" s="7">
        <f>COUNTIFS(Experiments!$D$2:$D$79,$A32,Experiments!$L$2:$L$79,"Intravitreal",Experiments!$T$2:$T$79,"yes")</f>
        <v/>
      </c>
      <c r="F32" s="7">
        <f>COUNTIFS(Experiments!$D$2:$D$79,$A32,Experiments!$L$2:$L$79,"Topical",Experiments!$T$2:$T$79,"yes")</f>
        <v/>
      </c>
      <c r="G32" s="7">
        <f>COUNTIFS(Experiments!$D$2:$D$79,$A32,Experiments!$L$2:$L$79,"Periocular",Experiments!$T$2:$T$79,"yes")</f>
        <v/>
      </c>
      <c r="H32" s="7">
        <f>COUNTIFS(Experiments!$D$2:$D$79,$A32,Experiments!$L$2:$L$79,"Combined",Experiments!$T$2:$T$79,"yes")</f>
        <v/>
      </c>
      <c r="I32" s="7">
        <f>COUNTIFS(Experiments!$D$2:$D$79,$A32,Experiments!$K$2:$K$79,"Acute injury",Experiments!$T$2:$T$79,"yes")</f>
        <v/>
      </c>
      <c r="J32" s="7">
        <f>COUNTIFS(Experiments!$D$2:$D$79,$A32,Experiments!$K$2:$K$79,"Induced OHT",Experiments!$T$2:$T$79,"yes")</f>
        <v/>
      </c>
      <c r="K32" s="7">
        <f>COUNTIFS(Experiments!$D$2:$D$79,$A32,Experiments!$K$2:$K$79,"Genetic / metabolic",Experiments!$T$2:$T$79,"yes")</f>
        <v/>
      </c>
      <c r="L32" s="7">
        <f>COUNTIFS(Experiments!$D$2:$D$79,$A32,Experiments!$O$2:$O$79,"Single dose",Experiments!$T$2:$T$79,"yes")</f>
        <v/>
      </c>
      <c r="M32" s="7">
        <f>COUNTIFS(Experiments!$D$2:$D$79,$A32,Experiments!$N$2:$N$79,"&gt;1",Experiments!$T$2:$T$79,"yes")</f>
        <v/>
      </c>
      <c r="N32" s="7">
        <f>COUNTIFS(Experiments!$D$2:$D$79,$A32,Experiments!$O$2:$O$79,"Not reported",Experiments!$T$2:$T$79,"yes")</f>
        <v/>
      </c>
    </row>
    <row r="33">
      <c r="A33" s="14" t="inlineStr">
        <is>
          <t>Total</t>
        </is>
      </c>
      <c r="B33" s="15" t="n"/>
      <c r="C33" s="14">
        <f>SUM(C14:C32)</f>
        <v/>
      </c>
      <c r="D33" s="14">
        <f>SUM(D14:D32)</f>
        <v/>
      </c>
      <c r="E33" s="14">
        <f>SUM(E14:E32)</f>
        <v/>
      </c>
      <c r="F33" s="14">
        <f>SUM(F14:F32)</f>
        <v/>
      </c>
      <c r="G33" s="14">
        <f>SUM(G14:G32)</f>
        <v/>
      </c>
      <c r="H33" s="14">
        <f>SUM(H14:H32)</f>
        <v/>
      </c>
      <c r="I33" s="14">
        <f>SUM(I14:I32)</f>
        <v/>
      </c>
      <c r="J33" s="14">
        <f>SUM(J14:J32)</f>
        <v/>
      </c>
      <c r="K33" s="14">
        <f>SUM(K14:K32)</f>
        <v/>
      </c>
      <c r="L33" s="14">
        <f>SUM(L14:L32)</f>
        <v/>
      </c>
      <c r="M33" s="14">
        <f>SUM(M14:M32)</f>
        <v/>
      </c>
      <c r="N33" s="14">
        <f>SUM(N14:N32)</f>
        <v/>
      </c>
    </row>
    <row r="34">
      <c r="A34" s="16" t="inlineStr">
        <is>
          <t>Each row must add up: routes, model categories and dosing groups each sum to the Experiments column.</t>
        </is>
      </c>
    </row>
  </sheetData>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79"/>
  <sheetViews>
    <sheetView zoomScaleNormal="100" workbookViewId="0">
      <pane xSplit="2" ySplit="1" topLeftCell="C2" activePane="bottomRight" state="frozen"/>
      <selection pane="topRight" activeCell="C1" sqref="C1"/>
      <selection pane="bottomLeft" activeCell="A2" sqref="A2"/>
      <selection pane="bottomRight" activeCell="E12" sqref="E12"/>
    </sheetView>
  </sheetViews>
  <sheetFormatPr baseColWidth="8" defaultColWidth="8.6328125" defaultRowHeight="14.5"/>
  <cols>
    <col width="6" customWidth="1" min="1" max="1"/>
    <col width="30" customWidth="1" min="2" max="2"/>
    <col width="22" customWidth="1" min="3" max="3"/>
    <col width="17" customWidth="1" min="4" max="4"/>
    <col width="24" customWidth="1" min="5" max="5"/>
    <col width="10" customWidth="1" min="6" max="7"/>
    <col width="15" customWidth="1" min="8" max="8"/>
    <col width="40" customWidth="1" min="9" max="9"/>
    <col width="34" customWidth="1" min="10" max="10"/>
    <col width="20" customWidth="1" min="11" max="11"/>
    <col width="14" customWidth="1" min="12" max="12"/>
    <col width="46" customWidth="1" min="13" max="13"/>
    <col width="13" customWidth="1" min="14" max="14"/>
    <col width="14" customWidth="1" min="15" max="15"/>
    <col width="10" customWidth="1" min="16" max="16"/>
    <col width="16" customWidth="1" min="17" max="17"/>
    <col width="11" customWidth="1" min="18" max="19"/>
    <col width="9" customWidth="1" min="20" max="20"/>
  </cols>
  <sheetData>
    <row r="1" ht="42" customHeight="1">
      <c r="A1" s="6" t="inlineStr">
        <is>
          <t>ID</t>
        </is>
      </c>
      <c r="B1" s="6" t="inlineStr">
        <is>
          <t>Compound</t>
        </is>
      </c>
      <c r="C1" s="6" t="inlineStr">
        <is>
          <t>Compound (base name)</t>
        </is>
      </c>
      <c r="D1" s="6" t="inlineStr">
        <is>
          <t>Drug class</t>
        </is>
      </c>
      <c r="E1" s="6" t="inlineStr">
        <is>
          <t>Pathway (Figure 2 branch)</t>
        </is>
      </c>
      <c r="F1" s="6" t="inlineStr">
        <is>
          <t>Manuscript table</t>
        </is>
      </c>
      <c r="G1" s="6" t="inlineStr">
        <is>
          <t>Reference</t>
        </is>
      </c>
      <c r="H1" s="6" t="inlineStr">
        <is>
          <t>Species</t>
        </is>
      </c>
      <c r="I1" s="6" t="inlineStr">
        <is>
          <t>Model (as reported)</t>
        </is>
      </c>
      <c r="J1" s="6" t="inlineStr">
        <is>
          <t>Injury model (grouped)</t>
        </is>
      </c>
      <c r="K1" s="6" t="inlineStr">
        <is>
          <t>Model category</t>
        </is>
      </c>
      <c r="L1" s="6" t="inlineStr">
        <is>
          <t>Route</t>
        </is>
      </c>
      <c r="M1" s="6" t="inlineStr">
        <is>
          <t>Route detail</t>
        </is>
      </c>
      <c r="N1" s="6" t="inlineStr">
        <is>
          <t>Treatment duration (days)</t>
        </is>
      </c>
      <c r="O1" s="6" t="inlineStr">
        <is>
          <t>Dosing group</t>
        </is>
      </c>
      <c r="P1" s="6" t="inlineStr">
        <is>
          <t>Readout day</t>
        </is>
      </c>
      <c r="Q1" s="6" t="inlineStr">
        <is>
          <t>RGC outcome</t>
        </is>
      </c>
      <c r="R1" s="6" t="inlineStr">
        <is>
          <t>In Tables 1–3</t>
        </is>
      </c>
      <c r="S1" s="6" t="inlineStr">
        <is>
          <t>Include in figure</t>
        </is>
      </c>
      <c r="T1" s="6" t="inlineStr">
        <is>
          <t>In wheel</t>
        </is>
      </c>
    </row>
    <row r="2" ht="28" customHeight="1">
      <c r="A2" s="17" t="n">
        <v>1</v>
      </c>
      <c r="B2" s="17" t="inlineStr">
        <is>
          <t>Etanercept</t>
        </is>
      </c>
      <c r="C2" s="17" t="inlineStr">
        <is>
          <t>Etanercept</t>
        </is>
      </c>
      <c r="D2" s="17" t="inlineStr">
        <is>
          <t>TNF-α</t>
        </is>
      </c>
      <c r="E2" s="17">
        <f>INDEX('Drug classes'!$B$2:$B$20,MATCH(D2,'Drug classes'!$A$2:$A$20,0))</f>
        <v/>
      </c>
      <c r="F2" s="17" t="n">
        <v>1</v>
      </c>
      <c r="G2" s="17" t="n">
        <v>55</v>
      </c>
      <c r="H2" s="17" t="inlineStr">
        <is>
          <t>Rat</t>
        </is>
      </c>
      <c r="I2" s="2" t="inlineStr">
        <is>
          <t>Episcleral vein cauterization OHT</t>
        </is>
      </c>
      <c r="J2" s="17" t="inlineStr">
        <is>
          <t>Episcleral vein OHT</t>
        </is>
      </c>
      <c r="K2" s="17" t="inlineStr">
        <is>
          <t>Induced OHT</t>
        </is>
      </c>
      <c r="L2" s="17" t="inlineStr">
        <is>
          <t>Systemic</t>
        </is>
      </c>
      <c r="M2" s="2" t="inlineStr">
        <is>
          <t>s.c. 0.3 or 1 mg/kg 3x/week from day 1 until sacrifice</t>
        </is>
      </c>
      <c r="N2" s="17" t="n">
        <v>28</v>
      </c>
      <c r="O2" s="17">
        <f>IF(N2="","Not reported",IF(N2&lt;=1,"Single dose",IF(N2&lt;=7,"2–7 days",IF(N2&lt;=28,"8–28 days",IF(N2&lt;=90,"1–3 months","&gt; 3 months")))))</f>
        <v/>
      </c>
      <c r="P2" s="17" t="n">
        <v>28</v>
      </c>
      <c r="Q2" s="17" t="inlineStr">
        <is>
          <t>Protective</t>
        </is>
      </c>
      <c r="R2" s="17" t="inlineStr">
        <is>
          <t>yes</t>
        </is>
      </c>
      <c r="S2" s="17" t="inlineStr">
        <is>
          <t>yes</t>
        </is>
      </c>
      <c r="T2" s="17">
        <f>IF(AND(R2="yes",S2="yes"),"yes","no")</f>
        <v/>
      </c>
    </row>
    <row r="3">
      <c r="A3" s="17" t="n">
        <v>2</v>
      </c>
      <c r="B3" s="17" t="inlineStr">
        <is>
          <t>Etanercept</t>
        </is>
      </c>
      <c r="C3" s="17" t="inlineStr">
        <is>
          <t>Etanercept</t>
        </is>
      </c>
      <c r="D3" s="17" t="inlineStr">
        <is>
          <t>TNF-α</t>
        </is>
      </c>
      <c r="E3" s="17">
        <f>INDEX('Drug classes'!$B$2:$B$20,MATCH(D3,'Drug classes'!$A$2:$A$20,0))</f>
        <v/>
      </c>
      <c r="F3" s="17" t="n">
        <v>1</v>
      </c>
      <c r="G3" s="17" t="n">
        <v>56</v>
      </c>
      <c r="H3" s="17" t="inlineStr">
        <is>
          <t>Mouse</t>
        </is>
      </c>
      <c r="I3" s="2" t="inlineStr">
        <is>
          <t>Optic nerve crush</t>
        </is>
      </c>
      <c r="J3" s="17" t="inlineStr">
        <is>
          <t>Optic nerve crush</t>
        </is>
      </c>
      <c r="K3" s="17" t="inlineStr">
        <is>
          <t>Acute injury</t>
        </is>
      </c>
      <c r="L3" s="17" t="inlineStr">
        <is>
          <t>Systemic</t>
        </is>
      </c>
      <c r="M3" s="2" t="inlineStr">
        <is>
          <t>s.c.</t>
        </is>
      </c>
      <c r="N3" s="17" t="n">
        <v>7</v>
      </c>
      <c r="O3" s="17">
        <f>IF(N3="","Not reported",IF(N3&lt;=1,"Single dose",IF(N3&lt;=7,"2–7 days",IF(N3&lt;=28,"8–28 days",IF(N3&lt;=90,"1–3 months","&gt; 3 months")))))</f>
        <v/>
      </c>
      <c r="P3" s="17" t="n">
        <v>14</v>
      </c>
      <c r="Q3" s="17" t="inlineStr">
        <is>
          <t>Protective</t>
        </is>
      </c>
      <c r="R3" s="17" t="inlineStr">
        <is>
          <t>yes</t>
        </is>
      </c>
      <c r="S3" s="17" t="inlineStr">
        <is>
          <t>yes</t>
        </is>
      </c>
      <c r="T3" s="17">
        <f>IF(AND(R3="yes",S3="yes"),"yes","no")</f>
        <v/>
      </c>
    </row>
    <row r="4" ht="28" customHeight="1">
      <c r="A4" s="17" t="n">
        <v>3</v>
      </c>
      <c r="B4" s="17" t="inlineStr">
        <is>
          <t>Etanercept</t>
        </is>
      </c>
      <c r="C4" s="17" t="inlineStr">
        <is>
          <t>Etanercept</t>
        </is>
      </c>
      <c r="D4" s="17" t="inlineStr">
        <is>
          <t>TNF-α</t>
        </is>
      </c>
      <c r="E4" s="17">
        <f>INDEX('Drug classes'!$B$2:$B$20,MATCH(D4,'Drug classes'!$A$2:$A$20,0))</f>
        <v/>
      </c>
      <c r="F4" s="17" t="n">
        <v>1</v>
      </c>
      <c r="G4" s="17" t="n">
        <v>56</v>
      </c>
      <c r="H4" s="17" t="inlineStr">
        <is>
          <t>Mouse</t>
        </is>
      </c>
      <c r="I4" s="2" t="inlineStr">
        <is>
          <t>Sonication-induced traumatic optic neuropathy</t>
        </is>
      </c>
      <c r="J4" s="17" t="inlineStr">
        <is>
          <t>Traumatic optic neuropathy (sonication)</t>
        </is>
      </c>
      <c r="K4" s="17" t="inlineStr">
        <is>
          <t>Acute injury</t>
        </is>
      </c>
      <c r="L4" s="17" t="inlineStr">
        <is>
          <t>Systemic</t>
        </is>
      </c>
      <c r="M4" s="2" t="inlineStr">
        <is>
          <t>s.c.</t>
        </is>
      </c>
      <c r="N4" s="17" t="n">
        <v>7</v>
      </c>
      <c r="O4" s="17">
        <f>IF(N4="","Not reported",IF(N4&lt;=1,"Single dose",IF(N4&lt;=7,"2–7 days",IF(N4&lt;=28,"8–28 days",IF(N4&lt;=90,"1–3 months","&gt; 3 months")))))</f>
        <v/>
      </c>
      <c r="P4" s="17" t="n">
        <v>28</v>
      </c>
      <c r="Q4" s="17" t="inlineStr">
        <is>
          <t>Protective</t>
        </is>
      </c>
      <c r="R4" s="17" t="inlineStr">
        <is>
          <t>no</t>
        </is>
      </c>
      <c r="S4" s="17" t="inlineStr">
        <is>
          <t>yes</t>
        </is>
      </c>
      <c r="T4" s="17">
        <f>IF(AND(R4="yes",S4="yes"),"yes","no")</f>
        <v/>
      </c>
    </row>
    <row r="5">
      <c r="A5" s="17" t="n">
        <v>4</v>
      </c>
      <c r="B5" s="17" t="inlineStr">
        <is>
          <t>Etanercept</t>
        </is>
      </c>
      <c r="C5" s="17" t="inlineStr">
        <is>
          <t>Etanercept</t>
        </is>
      </c>
      <c r="D5" s="17" t="inlineStr">
        <is>
          <t>TNF-α</t>
        </is>
      </c>
      <c r="E5" s="17">
        <f>INDEX('Drug classes'!$B$2:$B$20,MATCH(D5,'Drug classes'!$A$2:$A$20,0))</f>
        <v/>
      </c>
      <c r="F5" s="17" t="n">
        <v>1</v>
      </c>
      <c r="G5" s="17" t="n">
        <v>57</v>
      </c>
      <c r="H5" s="17" t="inlineStr">
        <is>
          <t>Rat</t>
        </is>
      </c>
      <c r="I5" s="2" t="inlineStr">
        <is>
          <t>Retinal ischemia (high IOP)</t>
        </is>
      </c>
      <c r="J5" s="17" t="inlineStr">
        <is>
          <t>Retinal ischemia / acute IOP elevation</t>
        </is>
      </c>
      <c r="K5" s="17" t="inlineStr">
        <is>
          <t>Acute injury</t>
        </is>
      </c>
      <c r="L5" s="17" t="inlineStr">
        <is>
          <t>Systemic</t>
        </is>
      </c>
      <c r="M5" s="2" t="inlineStr">
        <is>
          <t>s.c.</t>
        </is>
      </c>
      <c r="N5" s="17" t="n">
        <v>28</v>
      </c>
      <c r="O5" s="17">
        <f>IF(N5="","Not reported",IF(N5&lt;=1,"Single dose",IF(N5&lt;=7,"2–7 days",IF(N5&lt;=28,"8–28 days",IF(N5&lt;=90,"1–3 months","&gt; 3 months")))))</f>
        <v/>
      </c>
      <c r="P5" s="17" t="n">
        <v>28</v>
      </c>
      <c r="Q5" s="17" t="inlineStr">
        <is>
          <t>Protective</t>
        </is>
      </c>
      <c r="R5" s="17" t="inlineStr">
        <is>
          <t>yes</t>
        </is>
      </c>
      <c r="S5" s="17" t="inlineStr">
        <is>
          <t>yes</t>
        </is>
      </c>
      <c r="T5" s="17">
        <f>IF(AND(R5="yes",S5="yes"),"yes","no")</f>
        <v/>
      </c>
    </row>
    <row r="6" ht="28" customHeight="1">
      <c r="A6" s="17" t="n">
        <v>5</v>
      </c>
      <c r="B6" s="17" t="inlineStr">
        <is>
          <t>XPro1595</t>
        </is>
      </c>
      <c r="C6" s="17" t="inlineStr">
        <is>
          <t>XPro1595</t>
        </is>
      </c>
      <c r="D6" s="17" t="inlineStr">
        <is>
          <t>TNF-α</t>
        </is>
      </c>
      <c r="E6" s="17">
        <f>INDEX('Drug classes'!$B$2:$B$20,MATCH(D6,'Drug classes'!$A$2:$A$20,0))</f>
        <v/>
      </c>
      <c r="F6" s="17" t="n">
        <v>1</v>
      </c>
      <c r="G6" s="17" t="n">
        <v>49</v>
      </c>
      <c r="H6" s="17" t="inlineStr">
        <is>
          <t>Rat</t>
        </is>
      </c>
      <c r="I6" s="2" t="inlineStr">
        <is>
          <t>Hypertonic saline episcleral vein OHT</t>
        </is>
      </c>
      <c r="J6" s="17" t="inlineStr">
        <is>
          <t>Hypertonic saline OHT</t>
        </is>
      </c>
      <c r="K6" s="17" t="inlineStr">
        <is>
          <t>Induced OHT</t>
        </is>
      </c>
      <c r="L6" s="17" t="inlineStr">
        <is>
          <t>Intravitreal</t>
        </is>
      </c>
      <c r="M6" s="2" t="inlineStr">
        <is>
          <t>intravitreal 5 uL (50 ug/uL) at 1 and 2 weeks after OHT induction; RGCs at 3 weeks</t>
        </is>
      </c>
      <c r="N6" s="17" t="n">
        <v>8</v>
      </c>
      <c r="O6" s="17">
        <f>IF(N6="","Not reported",IF(N6&lt;=1,"Single dose",IF(N6&lt;=7,"2–7 days",IF(N6&lt;=28,"8–28 days",IF(N6&lt;=90,"1–3 months","&gt; 3 months")))))</f>
        <v/>
      </c>
      <c r="P6" s="17" t="n">
        <v>21</v>
      </c>
      <c r="Q6" s="17" t="inlineStr">
        <is>
          <t>Protective</t>
        </is>
      </c>
      <c r="R6" s="17" t="inlineStr">
        <is>
          <t>yes</t>
        </is>
      </c>
      <c r="S6" s="17" t="inlineStr">
        <is>
          <t>yes</t>
        </is>
      </c>
      <c r="T6" s="17">
        <f>IF(AND(R6="yes",S6="yes"),"yes","no")</f>
        <v/>
      </c>
    </row>
    <row r="7">
      <c r="A7" s="17" t="n">
        <v>6</v>
      </c>
      <c r="B7" s="17" t="inlineStr">
        <is>
          <t>R7050</t>
        </is>
      </c>
      <c r="C7" s="17" t="inlineStr">
        <is>
          <t>R7050</t>
        </is>
      </c>
      <c r="D7" s="17" t="inlineStr">
        <is>
          <t>TNF-α</t>
        </is>
      </c>
      <c r="E7" s="17">
        <f>INDEX('Drug classes'!$B$2:$B$20,MATCH(D7,'Drug classes'!$A$2:$A$20,0))</f>
        <v/>
      </c>
      <c r="F7" s="17" t="n">
        <v>1</v>
      </c>
      <c r="G7" s="17" t="n">
        <v>68</v>
      </c>
      <c r="H7" s="17" t="inlineStr">
        <is>
          <t>Mouse</t>
        </is>
      </c>
      <c r="I7" s="2" t="inlineStr">
        <is>
          <t>Optic nerve crush</t>
        </is>
      </c>
      <c r="J7" s="17" t="inlineStr">
        <is>
          <t>Optic nerve crush</t>
        </is>
      </c>
      <c r="K7" s="17" t="inlineStr">
        <is>
          <t>Acute injury</t>
        </is>
      </c>
      <c r="L7" s="17" t="inlineStr">
        <is>
          <t>Systemic</t>
        </is>
      </c>
      <c r="M7" s="2" t="inlineStr">
        <is>
          <t>i.p. daily</t>
        </is>
      </c>
      <c r="N7" s="17" t="n">
        <v>14</v>
      </c>
      <c r="O7" s="17">
        <f>IF(N7="","Not reported",IF(N7&lt;=1,"Single dose",IF(N7&lt;=7,"2–7 days",IF(N7&lt;=28,"8–28 days",IF(N7&lt;=90,"1–3 months","&gt; 3 months")))))</f>
        <v/>
      </c>
      <c r="P7" s="17" t="n">
        <v>14</v>
      </c>
      <c r="Q7" s="17" t="inlineStr">
        <is>
          <t>Protective</t>
        </is>
      </c>
      <c r="R7" s="17" t="inlineStr">
        <is>
          <t>yes</t>
        </is>
      </c>
      <c r="S7" s="17" t="inlineStr">
        <is>
          <t>yes</t>
        </is>
      </c>
      <c r="T7" s="17">
        <f>IF(AND(R7="yes",S7="yes"),"yes","no")</f>
        <v/>
      </c>
    </row>
    <row r="8">
      <c r="A8" s="17" t="n">
        <v>7</v>
      </c>
      <c r="B8" s="17" t="inlineStr">
        <is>
          <t>R7050</t>
        </is>
      </c>
      <c r="C8" s="17" t="inlineStr">
        <is>
          <t>R7050</t>
        </is>
      </c>
      <c r="D8" s="17" t="inlineStr">
        <is>
          <t>TNF-α</t>
        </is>
      </c>
      <c r="E8" s="17">
        <f>INDEX('Drug classes'!$B$2:$B$20,MATCH(D8,'Drug classes'!$A$2:$A$20,0))</f>
        <v/>
      </c>
      <c r="F8" s="17" t="n">
        <v>1</v>
      </c>
      <c r="G8" s="17" t="n">
        <v>68</v>
      </c>
      <c r="H8" s="17" t="inlineStr">
        <is>
          <t>Mouse</t>
        </is>
      </c>
      <c r="I8" s="2" t="inlineStr">
        <is>
          <t>Optic nerve crush</t>
        </is>
      </c>
      <c r="J8" s="17" t="inlineStr">
        <is>
          <t>Optic nerve crush</t>
        </is>
      </c>
      <c r="K8" s="17" t="inlineStr">
        <is>
          <t>Acute injury</t>
        </is>
      </c>
      <c r="L8" s="17" t="inlineStr">
        <is>
          <t>Intravitreal</t>
        </is>
      </c>
      <c r="M8" s="2" t="inlineStr">
        <is>
          <t>single injection</t>
        </is>
      </c>
      <c r="N8" s="17" t="n">
        <v>1</v>
      </c>
      <c r="O8" s="17">
        <f>IF(N8="","Not reported",IF(N8&lt;=1,"Single dose",IF(N8&lt;=7,"2–7 days",IF(N8&lt;=28,"8–28 days",IF(N8&lt;=90,"1–3 months","&gt; 3 months")))))</f>
        <v/>
      </c>
      <c r="P8" s="17" t="n">
        <v>14</v>
      </c>
      <c r="Q8" s="17" t="inlineStr">
        <is>
          <t>Protective</t>
        </is>
      </c>
      <c r="R8" s="17" t="inlineStr">
        <is>
          <t>yes</t>
        </is>
      </c>
      <c r="S8" s="17" t="inlineStr">
        <is>
          <t>yes</t>
        </is>
      </c>
      <c r="T8" s="17">
        <f>IF(AND(R8="yes",S8="yes"),"yes","no")</f>
        <v/>
      </c>
    </row>
    <row r="9">
      <c r="A9" s="17" t="n">
        <v>8</v>
      </c>
      <c r="B9" s="17" t="inlineStr">
        <is>
          <t>R7050</t>
        </is>
      </c>
      <c r="C9" s="17" t="inlineStr">
        <is>
          <t>R7050</t>
        </is>
      </c>
      <c r="D9" s="17" t="inlineStr">
        <is>
          <t>TNF-α</t>
        </is>
      </c>
      <c r="E9" s="17">
        <f>INDEX('Drug classes'!$B$2:$B$20,MATCH(D9,'Drug classes'!$A$2:$A$20,0))</f>
        <v/>
      </c>
      <c r="F9" s="17" t="n">
        <v>1</v>
      </c>
      <c r="G9" s="17" t="n">
        <v>68</v>
      </c>
      <c r="H9" s="17" t="inlineStr">
        <is>
          <t>Mouse</t>
        </is>
      </c>
      <c r="I9" s="2" t="inlineStr">
        <is>
          <t>Optic nerve crush</t>
        </is>
      </c>
      <c r="J9" s="17" t="inlineStr">
        <is>
          <t>Optic nerve crush</t>
        </is>
      </c>
      <c r="K9" s="17" t="inlineStr">
        <is>
          <t>Acute injury</t>
        </is>
      </c>
      <c r="L9" s="17" t="inlineStr">
        <is>
          <t>Combined</t>
        </is>
      </c>
      <c r="M9" s="2" t="inlineStr">
        <is>
          <t>i.p. daily + single intravitreal</t>
        </is>
      </c>
      <c r="N9" s="17" t="n">
        <v>5</v>
      </c>
      <c r="O9" s="17">
        <f>IF(N9="","Not reported",IF(N9&lt;=1,"Single dose",IF(N9&lt;=7,"2–7 days",IF(N9&lt;=28,"8–28 days",IF(N9&lt;=90,"1–3 months","&gt; 3 months")))))</f>
        <v/>
      </c>
      <c r="P9" s="17" t="n">
        <v>5</v>
      </c>
      <c r="Q9" s="17" t="inlineStr">
        <is>
          <t>Protective</t>
        </is>
      </c>
      <c r="R9" s="17" t="inlineStr">
        <is>
          <t>yes</t>
        </is>
      </c>
      <c r="S9" s="17" t="inlineStr">
        <is>
          <t>yes</t>
        </is>
      </c>
      <c r="T9" s="17">
        <f>IF(AND(R9="yes",S9="yes"),"yes","no")</f>
        <v/>
      </c>
    </row>
    <row r="10">
      <c r="A10" s="17" t="n">
        <v>9</v>
      </c>
      <c r="B10" s="17" t="inlineStr">
        <is>
          <t>IL-1Ra</t>
        </is>
      </c>
      <c r="C10" s="17" t="inlineStr">
        <is>
          <t>IL-1Ra</t>
        </is>
      </c>
      <c r="D10" s="17" t="inlineStr">
        <is>
          <t>IL-1β</t>
        </is>
      </c>
      <c r="E10" s="17">
        <f>INDEX('Drug classes'!$B$2:$B$20,MATCH(D10,'Drug classes'!$A$2:$A$20,0))</f>
        <v/>
      </c>
      <c r="F10" s="17" t="n">
        <v>1</v>
      </c>
      <c r="G10" s="17" t="n">
        <v>77</v>
      </c>
      <c r="H10" s="17" t="inlineStr">
        <is>
          <t>Rat</t>
        </is>
      </c>
      <c r="I10" s="2" t="inlineStr">
        <is>
          <t>Retinal ischemia/reperfusion (high IOP)</t>
        </is>
      </c>
      <c r="J10" s="17" t="inlineStr">
        <is>
          <t>Retinal ischemia / acute IOP elevation</t>
        </is>
      </c>
      <c r="K10" s="17" t="inlineStr">
        <is>
          <t>Acute injury</t>
        </is>
      </c>
      <c r="L10" s="17" t="inlineStr">
        <is>
          <t>Intravitreal</t>
        </is>
      </c>
      <c r="M10" s="2" t="inlineStr">
        <is>
          <t>single injection 5 min before ischemia</t>
        </is>
      </c>
      <c r="N10" s="17" t="n">
        <v>1</v>
      </c>
      <c r="O10" s="17">
        <f>IF(N10="","Not reported",IF(N10&lt;=1,"Single dose",IF(N10&lt;=7,"2–7 days",IF(N10&lt;=28,"8–28 days",IF(N10&lt;=90,"1–3 months","&gt; 3 months")))))</f>
        <v/>
      </c>
      <c r="P10" s="17" t="n">
        <v>7</v>
      </c>
      <c r="Q10" s="17" t="inlineStr">
        <is>
          <t>Protective</t>
        </is>
      </c>
      <c r="R10" s="17" t="inlineStr">
        <is>
          <t>yes</t>
        </is>
      </c>
      <c r="S10" s="17" t="inlineStr">
        <is>
          <t>yes</t>
        </is>
      </c>
      <c r="T10" s="17">
        <f>IF(AND(R10="yes",S10="yes"),"yes","no")</f>
        <v/>
      </c>
    </row>
    <row r="11">
      <c r="A11" s="17" t="n">
        <v>10</v>
      </c>
      <c r="B11" s="17" t="inlineStr">
        <is>
          <t>Anakinra</t>
        </is>
      </c>
      <c r="C11" s="17" t="inlineStr">
        <is>
          <t>Anakinra</t>
        </is>
      </c>
      <c r="D11" s="17" t="inlineStr">
        <is>
          <t>IL-1β</t>
        </is>
      </c>
      <c r="E11" s="17">
        <f>INDEX('Drug classes'!$B$2:$B$20,MATCH(D11,'Drug classes'!$A$2:$A$20,0))</f>
        <v/>
      </c>
      <c r="F11" s="17" t="n">
        <v>1</v>
      </c>
      <c r="G11" s="17" t="n">
        <v>78</v>
      </c>
      <c r="H11" s="17" t="inlineStr">
        <is>
          <t>Mouse</t>
        </is>
      </c>
      <c r="I11" s="2" t="inlineStr">
        <is>
          <t>Blast traumatic brain injury</t>
        </is>
      </c>
      <c r="J11" s="17" t="inlineStr">
        <is>
          <t>Blast traumatic brain injury</t>
        </is>
      </c>
      <c r="K11" s="17" t="inlineStr">
        <is>
          <t>Acute injury</t>
        </is>
      </c>
      <c r="L11" s="17" t="inlineStr">
        <is>
          <t>Systemic</t>
        </is>
      </c>
      <c r="M11" s="2" t="inlineStr">
        <is>
          <t>i.p. daily (day -7 to +21)</t>
        </is>
      </c>
      <c r="N11" s="17" t="n">
        <v>29</v>
      </c>
      <c r="O11" s="17">
        <f>IF(N11="","Not reported",IF(N11&lt;=1,"Single dose",IF(N11&lt;=7,"2–7 days",IF(N11&lt;=28,"8–28 days",IF(N11&lt;=90,"1–3 months","&gt; 3 months")))))</f>
        <v/>
      </c>
      <c r="P11" s="17" t="n">
        <v>28</v>
      </c>
      <c r="Q11" s="17" t="inlineStr">
        <is>
          <t>Protective</t>
        </is>
      </c>
      <c r="R11" s="17" t="inlineStr">
        <is>
          <t>yes</t>
        </is>
      </c>
      <c r="S11" s="17" t="inlineStr">
        <is>
          <t>yes</t>
        </is>
      </c>
      <c r="T11" s="17">
        <f>IF(AND(R11="yes",S11="yes"),"yes","no")</f>
        <v/>
      </c>
    </row>
    <row r="12">
      <c r="A12" s="17" t="n">
        <v>11</v>
      </c>
      <c r="B12" s="17" t="inlineStr">
        <is>
          <t>sgp130Fc</t>
        </is>
      </c>
      <c r="C12" s="17" t="inlineStr">
        <is>
          <t>sgp130Fc</t>
        </is>
      </c>
      <c r="D12" s="17" t="inlineStr">
        <is>
          <t>IL-6</t>
        </is>
      </c>
      <c r="E12" s="17">
        <f>INDEX('Drug classes'!$B$2:$B$20,MATCH(D12,'Drug classes'!$A$2:$A$20,0))</f>
        <v/>
      </c>
      <c r="F12" s="17" t="n">
        <v>1</v>
      </c>
      <c r="G12" s="17" t="n">
        <v>86</v>
      </c>
      <c r="H12" s="17" t="inlineStr">
        <is>
          <t>Mouse</t>
        </is>
      </c>
      <c r="I12" s="2" t="inlineStr">
        <is>
          <t>STZ diabetes</t>
        </is>
      </c>
      <c r="J12" s="17" t="inlineStr">
        <is>
          <t>STZ diabetes</t>
        </is>
      </c>
      <c r="K12" s="17" t="inlineStr">
        <is>
          <t>Genetic / metabolic</t>
        </is>
      </c>
      <c r="L12" s="17" t="inlineStr">
        <is>
          <t>Systemic</t>
        </is>
      </c>
      <c r="M12" s="2" t="inlineStr">
        <is>
          <t>i.p. twice weekly x 2 weeks</t>
        </is>
      </c>
      <c r="N12" s="17" t="n">
        <v>14</v>
      </c>
      <c r="O12" s="17">
        <f>IF(N12="","Not reported",IF(N12&lt;=1,"Single dose",IF(N12&lt;=7,"2–7 days",IF(N12&lt;=28,"8–28 days",IF(N12&lt;=90,"1–3 months","&gt; 3 months")))))</f>
        <v/>
      </c>
      <c r="P12" s="17" t="n"/>
      <c r="Q12" s="17" t="inlineStr">
        <is>
          <t>No RGC readout</t>
        </is>
      </c>
      <c r="R12" s="17" t="inlineStr">
        <is>
          <t>yes</t>
        </is>
      </c>
      <c r="S12" s="17" t="inlineStr">
        <is>
          <t>yes</t>
        </is>
      </c>
      <c r="T12" s="17">
        <f>IF(AND(R12="yes",S12="yes"),"yes","no")</f>
        <v/>
      </c>
    </row>
    <row r="13">
      <c r="A13" s="17" t="n">
        <v>12</v>
      </c>
      <c r="B13" s="17" t="inlineStr">
        <is>
          <t>BAY 11-7082</t>
        </is>
      </c>
      <c r="C13" s="17" t="inlineStr">
        <is>
          <t>BAY 11-7082</t>
        </is>
      </c>
      <c r="D13" s="17" t="inlineStr">
        <is>
          <t>NF-κB</t>
        </is>
      </c>
      <c r="E13" s="17">
        <f>INDEX('Drug classes'!$B$2:$B$20,MATCH(D13,'Drug classes'!$A$2:$A$20,0))</f>
        <v/>
      </c>
      <c r="F13" s="17" t="n">
        <v>2</v>
      </c>
      <c r="G13" s="17" t="n">
        <v>89</v>
      </c>
      <c r="H13" s="17" t="inlineStr">
        <is>
          <t>Rat</t>
        </is>
      </c>
      <c r="I13" s="2" t="inlineStr">
        <is>
          <t>NMDA intravitreal</t>
        </is>
      </c>
      <c r="J13" s="17" t="inlineStr">
        <is>
          <t>NMDA excitotoxicity</t>
        </is>
      </c>
      <c r="K13" s="17" t="inlineStr">
        <is>
          <t>Acute injury</t>
        </is>
      </c>
      <c r="L13" s="17" t="inlineStr">
        <is>
          <t>Intravitreal</t>
        </is>
      </c>
      <c r="M13" s="2" t="inlineStr">
        <is>
          <t>co-injected with NMDA</t>
        </is>
      </c>
      <c r="N13" s="17" t="n">
        <v>1</v>
      </c>
      <c r="O13" s="17">
        <f>IF(N13="","Not reported",IF(N13&lt;=1,"Single dose",IF(N13&lt;=7,"2–7 days",IF(N13&lt;=28,"8–28 days",IF(N13&lt;=90,"1–3 months","&gt; 3 months")))))</f>
        <v/>
      </c>
      <c r="P13" s="17" t="n">
        <v>7</v>
      </c>
      <c r="Q13" s="17" t="inlineStr">
        <is>
          <t>Protective</t>
        </is>
      </c>
      <c r="R13" s="17" t="inlineStr">
        <is>
          <t>yes</t>
        </is>
      </c>
      <c r="S13" s="17" t="inlineStr">
        <is>
          <t>yes</t>
        </is>
      </c>
      <c r="T13" s="17">
        <f>IF(AND(R13="yes",S13="yes"),"yes","no")</f>
        <v/>
      </c>
    </row>
    <row r="14">
      <c r="A14" s="17" t="n">
        <v>13</v>
      </c>
      <c r="B14" s="17" t="inlineStr">
        <is>
          <t>IMD-0354</t>
        </is>
      </c>
      <c r="C14" s="17" t="inlineStr">
        <is>
          <t>IMD-0354</t>
        </is>
      </c>
      <c r="D14" s="17" t="inlineStr">
        <is>
          <t>NF-κB</t>
        </is>
      </c>
      <c r="E14" s="17">
        <f>INDEX('Drug classes'!$B$2:$B$20,MATCH(D14,'Drug classes'!$A$2:$A$20,0))</f>
        <v/>
      </c>
      <c r="F14" s="17" t="n">
        <v>2</v>
      </c>
      <c r="G14" s="17" t="n">
        <v>89</v>
      </c>
      <c r="H14" s="17" t="inlineStr">
        <is>
          <t>Rat</t>
        </is>
      </c>
      <c r="I14" s="2" t="inlineStr">
        <is>
          <t>NMDA intravitreal</t>
        </is>
      </c>
      <c r="J14" s="17" t="inlineStr">
        <is>
          <t>NMDA excitotoxicity</t>
        </is>
      </c>
      <c r="K14" s="17" t="inlineStr">
        <is>
          <t>Acute injury</t>
        </is>
      </c>
      <c r="L14" s="17" t="inlineStr">
        <is>
          <t>Intravitreal</t>
        </is>
      </c>
      <c r="M14" s="2" t="inlineStr">
        <is>
          <t>co-injected with NMDA</t>
        </is>
      </c>
      <c r="N14" s="17" t="n">
        <v>1</v>
      </c>
      <c r="O14" s="17">
        <f>IF(N14="","Not reported",IF(N14&lt;=1,"Single dose",IF(N14&lt;=7,"2–7 days",IF(N14&lt;=28,"8–28 days",IF(N14&lt;=90,"1–3 months","&gt; 3 months")))))</f>
        <v/>
      </c>
      <c r="P14" s="17" t="n">
        <v>7</v>
      </c>
      <c r="Q14" s="17" t="inlineStr">
        <is>
          <t>Protective</t>
        </is>
      </c>
      <c r="R14" s="17" t="inlineStr">
        <is>
          <t>yes</t>
        </is>
      </c>
      <c r="S14" s="17" t="inlineStr">
        <is>
          <t>yes</t>
        </is>
      </c>
      <c r="T14" s="17">
        <f>IF(AND(R14="yes",S14="yes"),"yes","no")</f>
        <v/>
      </c>
    </row>
    <row r="15">
      <c r="A15" s="17" t="n">
        <v>14</v>
      </c>
      <c r="B15" s="17" t="inlineStr">
        <is>
          <t>IMD-0354</t>
        </is>
      </c>
      <c r="C15" s="17" t="inlineStr">
        <is>
          <t>IMD-0354</t>
        </is>
      </c>
      <c r="D15" s="17" t="inlineStr">
        <is>
          <t>NF-κB</t>
        </is>
      </c>
      <c r="E15" s="17">
        <f>INDEX('Drug classes'!$B$2:$B$20,MATCH(D15,'Drug classes'!$A$2:$A$20,0))</f>
        <v/>
      </c>
      <c r="F15" s="17" t="n">
        <v>2</v>
      </c>
      <c r="G15" s="17" t="n">
        <v>90</v>
      </c>
      <c r="H15" s="17" t="inlineStr">
        <is>
          <t>Rat</t>
        </is>
      </c>
      <c r="I15" s="2" t="inlineStr">
        <is>
          <t>STZ diabetes</t>
        </is>
      </c>
      <c r="J15" s="17" t="inlineStr">
        <is>
          <t>STZ diabetes</t>
        </is>
      </c>
      <c r="K15" s="17" t="inlineStr">
        <is>
          <t>Genetic / metabolic</t>
        </is>
      </c>
      <c r="L15" s="17" t="inlineStr">
        <is>
          <t>Systemic</t>
        </is>
      </c>
      <c r="M15" s="2" t="inlineStr">
        <is>
          <t>i.p. for 6 consecutive weeks</t>
        </is>
      </c>
      <c r="N15" s="17" t="n">
        <v>42</v>
      </c>
      <c r="O15" s="17">
        <f>IF(N15="","Not reported",IF(N15&lt;=1,"Single dose",IF(N15&lt;=7,"2–7 days",IF(N15&lt;=28,"8–28 days",IF(N15&lt;=90,"1–3 months","&gt; 3 months")))))</f>
        <v/>
      </c>
      <c r="P15" s="17" t="n"/>
      <c r="Q15" s="17" t="inlineStr">
        <is>
          <t>Partial</t>
        </is>
      </c>
      <c r="R15" s="17" t="inlineStr">
        <is>
          <t>yes</t>
        </is>
      </c>
      <c r="S15" s="17" t="inlineStr">
        <is>
          <t>yes</t>
        </is>
      </c>
      <c r="T15" s="17">
        <f>IF(AND(R15="yes",S15="yes"),"yes","no")</f>
        <v/>
      </c>
    </row>
    <row r="16" ht="28" customHeight="1">
      <c r="A16" s="17" t="n">
        <v>15</v>
      </c>
      <c r="B16" s="17" t="inlineStr">
        <is>
          <t>Puerarin</t>
        </is>
      </c>
      <c r="C16" s="17" t="inlineStr">
        <is>
          <t>Puerarin</t>
        </is>
      </c>
      <c r="D16" s="17" t="inlineStr">
        <is>
          <t>NF-κB</t>
        </is>
      </c>
      <c r="E16" s="17">
        <f>INDEX('Drug classes'!$B$2:$B$20,MATCH(D16,'Drug classes'!$A$2:$A$20,0))</f>
        <v/>
      </c>
      <c r="F16" s="17" t="n">
        <v>2</v>
      </c>
      <c r="G16" s="17" t="n">
        <v>91</v>
      </c>
      <c r="H16" s="17" t="inlineStr">
        <is>
          <t>Mouse</t>
        </is>
      </c>
      <c r="I16" s="2" t="inlineStr">
        <is>
          <t>Col8a2-mutant neovascular glaucoma</t>
        </is>
      </c>
      <c r="J16" s="17" t="inlineStr">
        <is>
          <t>Col8a2 neovascular glaucoma</t>
        </is>
      </c>
      <c r="K16" s="17" t="inlineStr">
        <is>
          <t>Genetic / metabolic</t>
        </is>
      </c>
      <c r="L16" s="17" t="inlineStr">
        <is>
          <t>Intravitreal</t>
        </is>
      </c>
      <c r="M16" s="2" t="inlineStr">
        <is>
          <t>intraocular injection 0.2 mg/kg (site not specified; classed as intravitreal)</t>
        </is>
      </c>
      <c r="N16" s="17" t="n">
        <v>30</v>
      </c>
      <c r="O16" s="17">
        <f>IF(N16="","Not reported",IF(N16&lt;=1,"Single dose",IF(N16&lt;=7,"2–7 days",IF(N16&lt;=28,"8–28 days",IF(N16&lt;=90,"1–3 months","&gt; 3 months")))))</f>
        <v/>
      </c>
      <c r="P16" s="17" t="n"/>
      <c r="Q16" s="17" t="inlineStr">
        <is>
          <t>No RGC readout</t>
        </is>
      </c>
      <c r="R16" s="17" t="inlineStr">
        <is>
          <t>yes</t>
        </is>
      </c>
      <c r="S16" s="17" t="inlineStr">
        <is>
          <t>yes</t>
        </is>
      </c>
      <c r="T16" s="17">
        <f>IF(AND(R16="yes",S16="yes"),"yes","no")</f>
        <v/>
      </c>
    </row>
    <row r="17">
      <c r="A17" s="17" t="n">
        <v>16</v>
      </c>
      <c r="B17" s="17" t="inlineStr">
        <is>
          <t>NLY01</t>
        </is>
      </c>
      <c r="C17" s="17" t="inlineStr">
        <is>
          <t>NLY01</t>
        </is>
      </c>
      <c r="D17" s="17" t="inlineStr">
        <is>
          <t>NF-κB</t>
        </is>
      </c>
      <c r="E17" s="17">
        <f>INDEX('Drug classes'!$B$2:$B$20,MATCH(D17,'Drug classes'!$A$2:$A$20,0))</f>
        <v/>
      </c>
      <c r="F17" s="17" t="n">
        <v>2</v>
      </c>
      <c r="G17" s="17" t="n">
        <v>92</v>
      </c>
      <c r="H17" s="17" t="inlineStr">
        <is>
          <t>Mouse</t>
        </is>
      </c>
      <c r="I17" s="2" t="inlineStr">
        <is>
          <t>Microbead OHT</t>
        </is>
      </c>
      <c r="J17" s="17" t="inlineStr">
        <is>
          <t>Microbead OHT</t>
        </is>
      </c>
      <c r="K17" s="17" t="inlineStr">
        <is>
          <t>Induced OHT</t>
        </is>
      </c>
      <c r="L17" s="17" t="inlineStr">
        <is>
          <t>Systemic</t>
        </is>
      </c>
      <c r="M17" s="2" t="inlineStr">
        <is>
          <t>s.c. twice weekly</t>
        </is>
      </c>
      <c r="N17" s="17" t="n">
        <v>42</v>
      </c>
      <c r="O17" s="17">
        <f>IF(N17="","Not reported",IF(N17&lt;=1,"Single dose",IF(N17&lt;=7,"2–7 days",IF(N17&lt;=28,"8–28 days",IF(N17&lt;=90,"1–3 months","&gt; 3 months")))))</f>
        <v/>
      </c>
      <c r="P17" s="17" t="n">
        <v>42</v>
      </c>
      <c r="Q17" s="17" t="inlineStr">
        <is>
          <t>Protective</t>
        </is>
      </c>
      <c r="R17" s="17" t="inlineStr">
        <is>
          <t>yes</t>
        </is>
      </c>
      <c r="S17" s="17" t="inlineStr">
        <is>
          <t>yes</t>
        </is>
      </c>
      <c r="T17" s="17">
        <f>IF(AND(R17="yes",S17="yes"),"yes","no")</f>
        <v/>
      </c>
    </row>
    <row r="18" ht="28" customHeight="1">
      <c r="A18" s="17" t="n">
        <v>17</v>
      </c>
      <c r="B18" s="17" t="inlineStr">
        <is>
          <t>Metformin</t>
        </is>
      </c>
      <c r="C18" s="17" t="inlineStr">
        <is>
          <t>Metformin</t>
        </is>
      </c>
      <c r="D18" s="17" t="inlineStr">
        <is>
          <t>NF-κB</t>
        </is>
      </c>
      <c r="E18" s="17">
        <f>INDEX('Drug classes'!$B$2:$B$20,MATCH(D18,'Drug classes'!$A$2:$A$20,0))</f>
        <v/>
      </c>
      <c r="F18" s="17" t="n">
        <v>2</v>
      </c>
      <c r="G18" s="17" t="n">
        <v>93</v>
      </c>
      <c r="H18" s="17" t="inlineStr">
        <is>
          <t>Mouse</t>
        </is>
      </c>
      <c r="I18" s="2" t="inlineStr">
        <is>
          <t>Retinal ischemia/reperfusion (high IOP)</t>
        </is>
      </c>
      <c r="J18" s="17" t="inlineStr">
        <is>
          <t>Retinal ischemia / acute IOP elevation</t>
        </is>
      </c>
      <c r="K18" s="17" t="inlineStr">
        <is>
          <t>Acute injury</t>
        </is>
      </c>
      <c r="L18" s="17" t="inlineStr">
        <is>
          <t>Systemic</t>
        </is>
      </c>
      <c r="M18" s="2" t="inlineStr">
        <is>
          <t>i.p. 10 or 50 mg/kg once daily; ischemia on day 4 of treatment; continued to day 7 after</t>
        </is>
      </c>
      <c r="N18" s="17" t="n">
        <v>11</v>
      </c>
      <c r="O18" s="17">
        <f>IF(N18="","Not reported",IF(N18&lt;=1,"Single dose",IF(N18&lt;=7,"2–7 days",IF(N18&lt;=28,"8–28 days",IF(N18&lt;=90,"1–3 months","&gt; 3 months")))))</f>
        <v/>
      </c>
      <c r="P18" s="17" t="n">
        <v>7</v>
      </c>
      <c r="Q18" s="17" t="inlineStr">
        <is>
          <t>Protective</t>
        </is>
      </c>
      <c r="R18" s="17" t="inlineStr">
        <is>
          <t>yes</t>
        </is>
      </c>
      <c r="S18" s="17" t="inlineStr">
        <is>
          <t>yes</t>
        </is>
      </c>
      <c r="T18" s="17">
        <f>IF(AND(R18="yes",S18="yes"),"yes","no")</f>
        <v/>
      </c>
    </row>
    <row r="19">
      <c r="A19" s="17" t="n">
        <v>18</v>
      </c>
      <c r="B19" s="17" t="inlineStr">
        <is>
          <t>BIRB 796</t>
        </is>
      </c>
      <c r="C19" s="17" t="inlineStr">
        <is>
          <t>BIRB 796</t>
        </is>
      </c>
      <c r="D19" s="17" t="inlineStr">
        <is>
          <t>p38 MAPK</t>
        </is>
      </c>
      <c r="E19" s="17">
        <f>INDEX('Drug classes'!$B$2:$B$20,MATCH(D19,'Drug classes'!$A$2:$A$20,0))</f>
        <v/>
      </c>
      <c r="F19" s="17" t="n">
        <v>2</v>
      </c>
      <c r="G19" s="17" t="n">
        <v>94</v>
      </c>
      <c r="H19" s="17" t="inlineStr">
        <is>
          <t>Rat</t>
        </is>
      </c>
      <c r="I19" s="2" t="inlineStr">
        <is>
          <t>Microbead OHT</t>
        </is>
      </c>
      <c r="J19" s="17" t="inlineStr">
        <is>
          <t>Microbead OHT</t>
        </is>
      </c>
      <c r="K19" s="17" t="inlineStr">
        <is>
          <t>Induced OHT</t>
        </is>
      </c>
      <c r="L19" s="17" t="inlineStr">
        <is>
          <t>Topical</t>
        </is>
      </c>
      <c r="M19" s="2" t="inlineStr">
        <is>
          <t>eye drops twice daily Mon-Fri</t>
        </is>
      </c>
      <c r="N19" s="17" t="n">
        <v>28</v>
      </c>
      <c r="O19" s="17">
        <f>IF(N19="","Not reported",IF(N19&lt;=1,"Single dose",IF(N19&lt;=7,"2–7 days",IF(N19&lt;=28,"8–28 days",IF(N19&lt;=90,"1–3 months","&gt; 3 months")))))</f>
        <v/>
      </c>
      <c r="P19" s="17" t="n">
        <v>28</v>
      </c>
      <c r="Q19" s="17" t="inlineStr">
        <is>
          <t>Protective</t>
        </is>
      </c>
      <c r="R19" s="17" t="inlineStr">
        <is>
          <t>yes</t>
        </is>
      </c>
      <c r="S19" s="17" t="inlineStr">
        <is>
          <t>yes</t>
        </is>
      </c>
      <c r="T19" s="17">
        <f>IF(AND(R19="yes",S19="yes"),"yes","no")</f>
        <v/>
      </c>
    </row>
    <row r="20">
      <c r="A20" s="17" t="n">
        <v>19</v>
      </c>
      <c r="B20" s="17" t="inlineStr">
        <is>
          <t>BIRB 796</t>
        </is>
      </c>
      <c r="C20" s="17" t="inlineStr">
        <is>
          <t>BIRB 796</t>
        </is>
      </c>
      <c r="D20" s="17" t="inlineStr">
        <is>
          <t>p38 MAPK</t>
        </is>
      </c>
      <c r="E20" s="17">
        <f>INDEX('Drug classes'!$B$2:$B$20,MATCH(D20,'Drug classes'!$A$2:$A$20,0))</f>
        <v/>
      </c>
      <c r="F20" s="17" t="n">
        <v>2</v>
      </c>
      <c r="G20" s="17" t="n">
        <v>94</v>
      </c>
      <c r="H20" s="17" t="inlineStr">
        <is>
          <t>Mouse</t>
        </is>
      </c>
      <c r="I20" s="2" t="inlineStr">
        <is>
          <t>DBA/2J</t>
        </is>
      </c>
      <c r="J20" s="17" t="inlineStr">
        <is>
          <t>DBA/2J</t>
        </is>
      </c>
      <c r="K20" s="17" t="inlineStr">
        <is>
          <t>Genetic / metabolic</t>
        </is>
      </c>
      <c r="L20" s="17" t="inlineStr">
        <is>
          <t>Topical</t>
        </is>
      </c>
      <c r="M20" s="2" t="inlineStr">
        <is>
          <t>eye drops once daily Mon-Fri</t>
        </is>
      </c>
      <c r="N20" s="17" t="n">
        <v>168</v>
      </c>
      <c r="O20" s="17">
        <f>IF(N20="","Not reported",IF(N20&lt;=1,"Single dose",IF(N20&lt;=7,"2–7 days",IF(N20&lt;=28,"8–28 days",IF(N20&lt;=90,"1–3 months","&gt; 3 months")))))</f>
        <v/>
      </c>
      <c r="P20" s="17" t="n"/>
      <c r="Q20" s="17" t="inlineStr">
        <is>
          <t>No protection</t>
        </is>
      </c>
      <c r="R20" s="17" t="inlineStr">
        <is>
          <t>yes</t>
        </is>
      </c>
      <c r="S20" s="17" t="inlineStr">
        <is>
          <t>yes</t>
        </is>
      </c>
      <c r="T20" s="17">
        <f>IF(AND(R20="yes",S20="yes"),"yes","no")</f>
        <v/>
      </c>
    </row>
    <row r="21">
      <c r="A21" s="17" t="n">
        <v>20</v>
      </c>
      <c r="B21" s="17" t="inlineStr">
        <is>
          <t>BIRB 796</t>
        </is>
      </c>
      <c r="C21" s="17" t="inlineStr">
        <is>
          <t>BIRB 796</t>
        </is>
      </c>
      <c r="D21" s="17" t="inlineStr">
        <is>
          <t>p38 MAPK</t>
        </is>
      </c>
      <c r="E21" s="17">
        <f>INDEX('Drug classes'!$B$2:$B$20,MATCH(D21,'Drug classes'!$A$2:$A$20,0))</f>
        <v/>
      </c>
      <c r="F21" s="17" t="n">
        <v>2</v>
      </c>
      <c r="G21" s="17" t="n">
        <v>94</v>
      </c>
      <c r="H21" s="17" t="inlineStr">
        <is>
          <t>Squirrel monkey</t>
        </is>
      </c>
      <c r="I21" s="2" t="inlineStr">
        <is>
          <t>Microbead OHT</t>
        </is>
      </c>
      <c r="J21" s="17" t="inlineStr">
        <is>
          <t>Microbead OHT</t>
        </is>
      </c>
      <c r="K21" s="17" t="inlineStr">
        <is>
          <t>Induced OHT</t>
        </is>
      </c>
      <c r="L21" s="17" t="inlineStr">
        <is>
          <t>Topical</t>
        </is>
      </c>
      <c r="M21" s="2" t="inlineStr">
        <is>
          <t>eye drops once daily Mon-Fri</t>
        </is>
      </c>
      <c r="N21" s="17" t="n">
        <v>203</v>
      </c>
      <c r="O21" s="17">
        <f>IF(N21="","Not reported",IF(N21&lt;=1,"Single dose",IF(N21&lt;=7,"2–7 days",IF(N21&lt;=28,"8–28 days",IF(N21&lt;=90,"1–3 months","&gt; 3 months")))))</f>
        <v/>
      </c>
      <c r="P21" s="17" t="n">
        <v>203</v>
      </c>
      <c r="Q21" s="17" t="inlineStr">
        <is>
          <t>No protection</t>
        </is>
      </c>
      <c r="R21" s="17" t="inlineStr">
        <is>
          <t>no</t>
        </is>
      </c>
      <c r="S21" s="17" t="inlineStr">
        <is>
          <t>no</t>
        </is>
      </c>
      <c r="T21" s="17">
        <f>IF(AND(R21="yes",S21="yes"),"yes","no")</f>
        <v/>
      </c>
    </row>
    <row r="22">
      <c r="A22" s="17" t="n">
        <v>21</v>
      </c>
      <c r="B22" s="17" t="inlineStr">
        <is>
          <t>GRGM-13</t>
        </is>
      </c>
      <c r="C22" s="17" t="inlineStr">
        <is>
          <t>GRGM-13</t>
        </is>
      </c>
      <c r="D22" s="17" t="inlineStr">
        <is>
          <t>p38 MAPK</t>
        </is>
      </c>
      <c r="E22" s="17">
        <f>INDEX('Drug classes'!$B$2:$B$20,MATCH(D22,'Drug classes'!$A$2:$A$20,0))</f>
        <v/>
      </c>
      <c r="F22" s="17" t="n">
        <v>2</v>
      </c>
      <c r="G22" s="17" t="n">
        <v>96</v>
      </c>
      <c r="H22" s="17" t="inlineStr">
        <is>
          <t>Rat</t>
        </is>
      </c>
      <c r="I22" s="2" t="inlineStr">
        <is>
          <t>Hypertonic saline episcleral vein OHT</t>
        </is>
      </c>
      <c r="J22" s="17" t="inlineStr">
        <is>
          <t>Hypertonic saline OHT</t>
        </is>
      </c>
      <c r="K22" s="17" t="inlineStr">
        <is>
          <t>Induced OHT</t>
        </is>
      </c>
      <c r="L22" s="17" t="inlineStr">
        <is>
          <t>Systemic</t>
        </is>
      </c>
      <c r="M22" s="2" t="inlineStr">
        <is>
          <t>intragastric 0.4/0.8/1.6 g/kg/d, once daily x 9 days</t>
        </is>
      </c>
      <c r="N22" s="17" t="n">
        <v>9</v>
      </c>
      <c r="O22" s="17">
        <f>IF(N22="","Not reported",IF(N22&lt;=1,"Single dose",IF(N22&lt;=7,"2–7 days",IF(N22&lt;=28,"8–28 days",IF(N22&lt;=90,"1–3 months","&gt; 3 months")))))</f>
        <v/>
      </c>
      <c r="P22" s="17" t="n"/>
      <c r="Q22" s="17" t="inlineStr">
        <is>
          <t>Protective</t>
        </is>
      </c>
      <c r="R22" s="17" t="inlineStr">
        <is>
          <t>yes</t>
        </is>
      </c>
      <c r="S22" s="17" t="inlineStr">
        <is>
          <t>yes</t>
        </is>
      </c>
      <c r="T22" s="17">
        <f>IF(AND(R22="yes",S22="yes"),"yes","no")</f>
        <v/>
      </c>
    </row>
    <row r="23">
      <c r="A23" s="17" t="n">
        <v>22</v>
      </c>
      <c r="B23" s="17" t="inlineStr">
        <is>
          <t>Ro3206145</t>
        </is>
      </c>
      <c r="C23" s="17" t="inlineStr">
        <is>
          <t>Ro3206145</t>
        </is>
      </c>
      <c r="D23" s="17" t="inlineStr">
        <is>
          <t>p38 MAPK</t>
        </is>
      </c>
      <c r="E23" s="17">
        <f>INDEX('Drug classes'!$B$2:$B$20,MATCH(D23,'Drug classes'!$A$2:$A$20,0))</f>
        <v/>
      </c>
      <c r="F23" s="17" t="n">
        <v>2</v>
      </c>
      <c r="G23" s="17" t="n">
        <v>97</v>
      </c>
      <c r="H23" s="17" t="inlineStr">
        <is>
          <t>Rat</t>
        </is>
      </c>
      <c r="I23" s="2" t="inlineStr">
        <is>
          <t>Microbead OHT</t>
        </is>
      </c>
      <c r="J23" s="17" t="inlineStr">
        <is>
          <t>Microbead OHT</t>
        </is>
      </c>
      <c r="K23" s="17" t="inlineStr">
        <is>
          <t>Induced OHT</t>
        </is>
      </c>
      <c r="L23" s="17" t="inlineStr">
        <is>
          <t>Topical</t>
        </is>
      </c>
      <c r="M23" s="2" t="inlineStr">
        <is>
          <t>eye drops twice daily</t>
        </is>
      </c>
      <c r="N23" s="17" t="n">
        <v>41</v>
      </c>
      <c r="O23" s="17">
        <f>IF(N23="","Not reported",IF(N23&lt;=1,"Single dose",IF(N23&lt;=7,"2–7 days",IF(N23&lt;=28,"8–28 days",IF(N23&lt;=90,"1–3 months","&gt; 3 months")))))</f>
        <v/>
      </c>
      <c r="P23" s="17" t="n">
        <v>42</v>
      </c>
      <c r="Q23" s="17" t="inlineStr">
        <is>
          <t>Axonal only</t>
        </is>
      </c>
      <c r="R23" s="17" t="inlineStr">
        <is>
          <t>yes</t>
        </is>
      </c>
      <c r="S23" s="17" t="inlineStr">
        <is>
          <t>yes</t>
        </is>
      </c>
      <c r="T23" s="17">
        <f>IF(AND(R23="yes",S23="yes"),"yes","no")</f>
        <v/>
      </c>
    </row>
    <row r="24" ht="28" customHeight="1">
      <c r="A24" s="17" t="n">
        <v>23</v>
      </c>
      <c r="B24" s="17" t="inlineStr">
        <is>
          <t>SP600125</t>
        </is>
      </c>
      <c r="C24" s="17" t="inlineStr">
        <is>
          <t>SP600125</t>
        </is>
      </c>
      <c r="D24" s="17" t="inlineStr">
        <is>
          <t>JNK</t>
        </is>
      </c>
      <c r="E24" s="17">
        <f>INDEX('Drug classes'!$B$2:$B$20,MATCH(D24,'Drug classes'!$A$2:$A$20,0))</f>
        <v/>
      </c>
      <c r="F24" s="17" t="n">
        <v>2</v>
      </c>
      <c r="G24" s="17" t="n">
        <v>109</v>
      </c>
      <c r="H24" s="17" t="inlineStr">
        <is>
          <t>Rat</t>
        </is>
      </c>
      <c r="I24" s="2" t="inlineStr">
        <is>
          <t>Acute moderate IOP elevation (6 h)</t>
        </is>
      </c>
      <c r="J24" s="17" t="inlineStr">
        <is>
          <t>Retinal ischemia / acute IOP elevation</t>
        </is>
      </c>
      <c r="K24" s="17" t="inlineStr">
        <is>
          <t>Acute injury</t>
        </is>
      </c>
      <c r="L24" s="17" t="inlineStr">
        <is>
          <t>Systemic</t>
        </is>
      </c>
      <c r="M24" s="2" t="inlineStr">
        <is>
          <t>systemic, given during 6-h IOP elevation (~45 mmHg)</t>
        </is>
      </c>
      <c r="N24" s="17" t="n">
        <v>1</v>
      </c>
      <c r="O24" s="17">
        <f>IF(N24="","Not reported",IF(N24&lt;=1,"Single dose",IF(N24&lt;=7,"2–7 days",IF(N24&lt;=28,"8–28 days",IF(N24&lt;=90,"1–3 months","&gt; 3 months")))))</f>
        <v/>
      </c>
      <c r="P24" s="17" t="n">
        <v>0.25</v>
      </c>
      <c r="Q24" s="17" t="inlineStr">
        <is>
          <t>Not determined</t>
        </is>
      </c>
      <c r="R24" s="17" t="inlineStr">
        <is>
          <t>yes</t>
        </is>
      </c>
      <c r="S24" s="17" t="inlineStr">
        <is>
          <t>yes</t>
        </is>
      </c>
      <c r="T24" s="17">
        <f>IF(AND(R24="yes",S24="yes"),"yes","no")</f>
        <v/>
      </c>
    </row>
    <row r="25">
      <c r="A25" s="17" t="n">
        <v>24</v>
      </c>
      <c r="B25" s="17" t="inlineStr">
        <is>
          <t>SP600125</t>
        </is>
      </c>
      <c r="C25" s="17" t="inlineStr">
        <is>
          <t>SP600125</t>
        </is>
      </c>
      <c r="D25" s="17" t="inlineStr">
        <is>
          <t>JNK</t>
        </is>
      </c>
      <c r="E25" s="17">
        <f>INDEX('Drug classes'!$B$2:$B$20,MATCH(D25,'Drug classes'!$A$2:$A$20,0))</f>
        <v/>
      </c>
      <c r="F25" s="17" t="n">
        <v>2</v>
      </c>
      <c r="G25" s="17" t="n">
        <v>110</v>
      </c>
      <c r="H25" s="17" t="inlineStr">
        <is>
          <t>Rat</t>
        </is>
      </c>
      <c r="I25" s="2" t="inlineStr">
        <is>
          <t>Acute moderate IOP elevation (7 h)</t>
        </is>
      </c>
      <c r="J25" s="17" t="inlineStr">
        <is>
          <t>Retinal ischemia / acute IOP elevation</t>
        </is>
      </c>
      <c r="K25" s="17" t="inlineStr">
        <is>
          <t>Acute injury</t>
        </is>
      </c>
      <c r="L25" s="17" t="inlineStr">
        <is>
          <t>Systemic</t>
        </is>
      </c>
      <c r="M25" s="2" t="inlineStr">
        <is>
          <t>i.p. 7 doses (days 0-7)</t>
        </is>
      </c>
      <c r="N25" s="17" t="n">
        <v>7</v>
      </c>
      <c r="O25" s="17">
        <f>IF(N25="","Not reported",IF(N25&lt;=1,"Single dose",IF(N25&lt;=7,"2–7 days",IF(N25&lt;=28,"8–28 days",IF(N25&lt;=90,"1–3 months","&gt; 3 months")))))</f>
        <v/>
      </c>
      <c r="P25" s="17" t="n">
        <v>28</v>
      </c>
      <c r="Q25" s="17" t="inlineStr">
        <is>
          <t>Protective</t>
        </is>
      </c>
      <c r="R25" s="17" t="inlineStr">
        <is>
          <t>yes</t>
        </is>
      </c>
      <c r="S25" s="17" t="inlineStr">
        <is>
          <t>yes</t>
        </is>
      </c>
      <c r="T25" s="17">
        <f>IF(AND(R25="yes",S25="yes"),"yes","no")</f>
        <v/>
      </c>
    </row>
    <row r="26">
      <c r="A26" s="17" t="n">
        <v>25</v>
      </c>
      <c r="B26" s="17" t="inlineStr">
        <is>
          <t>MCC950</t>
        </is>
      </c>
      <c r="C26" s="17" t="inlineStr">
        <is>
          <t>MCC950</t>
        </is>
      </c>
      <c r="D26" s="17" t="inlineStr">
        <is>
          <t>NLRP3 / ASC</t>
        </is>
      </c>
      <c r="E26" s="17">
        <f>INDEX('Drug classes'!$B$2:$B$20,MATCH(D26,'Drug classes'!$A$2:$A$20,0))</f>
        <v/>
      </c>
      <c r="F26" s="17" t="n">
        <v>2</v>
      </c>
      <c r="G26" s="17" t="n">
        <v>98</v>
      </c>
      <c r="H26" s="17" t="inlineStr">
        <is>
          <t>Mouse</t>
        </is>
      </c>
      <c r="I26" s="2" t="inlineStr">
        <is>
          <t>OPTN(E50K)</t>
        </is>
      </c>
      <c r="J26" s="17" t="inlineStr">
        <is>
          <t>OPTN(E50K)</t>
        </is>
      </c>
      <c r="K26" s="17" t="inlineStr">
        <is>
          <t>Genetic / metabolic</t>
        </is>
      </c>
      <c r="L26" s="17" t="inlineStr">
        <is>
          <t>Intravitreal</t>
        </is>
      </c>
      <c r="M26" s="2" t="inlineStr">
        <is>
          <t>single injection</t>
        </is>
      </c>
      <c r="N26" s="17" t="n">
        <v>1</v>
      </c>
      <c r="O26" s="17">
        <f>IF(N26="","Not reported",IF(N26&lt;=1,"Single dose",IF(N26&lt;=7,"2–7 days",IF(N26&lt;=28,"8–28 days",IF(N26&lt;=90,"1–3 months","&gt; 3 months")))))</f>
        <v/>
      </c>
      <c r="P26" s="17" t="n">
        <v>7</v>
      </c>
      <c r="Q26" s="17" t="inlineStr">
        <is>
          <t>Protective</t>
        </is>
      </c>
      <c r="R26" s="17" t="inlineStr">
        <is>
          <t>yes</t>
        </is>
      </c>
      <c r="S26" s="17" t="inlineStr">
        <is>
          <t>yes</t>
        </is>
      </c>
      <c r="T26" s="17">
        <f>IF(AND(R26="yes",S26="yes"),"yes","no")</f>
        <v/>
      </c>
    </row>
    <row r="27" ht="28" customHeight="1">
      <c r="A27" s="17" t="n">
        <v>26</v>
      </c>
      <c r="B27" s="17" t="inlineStr">
        <is>
          <t>MCC950</t>
        </is>
      </c>
      <c r="C27" s="17" t="inlineStr">
        <is>
          <t>MCC950</t>
        </is>
      </c>
      <c r="D27" s="17" t="inlineStr">
        <is>
          <t>NLRP3 / ASC</t>
        </is>
      </c>
      <c r="E27" s="17">
        <f>INDEX('Drug classes'!$B$2:$B$20,MATCH(D27,'Drug classes'!$A$2:$A$20,0))</f>
        <v/>
      </c>
      <c r="F27" s="17" t="n">
        <v>2</v>
      </c>
      <c r="G27" s="17" t="n">
        <v>99</v>
      </c>
      <c r="H27" s="17" t="inlineStr">
        <is>
          <t>Mouse</t>
        </is>
      </c>
      <c r="I27" s="2" t="inlineStr">
        <is>
          <t>STZ diabetes</t>
        </is>
      </c>
      <c r="J27" s="17" t="inlineStr">
        <is>
          <t>STZ diabetes</t>
        </is>
      </c>
      <c r="K27" s="17" t="inlineStr">
        <is>
          <t>Genetic / metabolic</t>
        </is>
      </c>
      <c r="L27" s="17" t="inlineStr">
        <is>
          <t>Intravitreal</t>
        </is>
      </c>
      <c r="M27" s="2" t="inlineStr">
        <is>
          <t>single intravitreal injection (2 uL) after diabetes induction</t>
        </is>
      </c>
      <c r="N27" s="17" t="n">
        <v>1</v>
      </c>
      <c r="O27" s="17">
        <f>IF(N27="","Not reported",IF(N27&lt;=1,"Single dose",IF(N27&lt;=7,"2–7 days",IF(N27&lt;=28,"8–28 days",IF(N27&lt;=90,"1–3 months","&gt; 3 months")))))</f>
        <v/>
      </c>
      <c r="P27" s="17" t="n"/>
      <c r="Q27" s="17" t="inlineStr">
        <is>
          <t>No RGC readout</t>
        </is>
      </c>
      <c r="R27" s="17" t="inlineStr">
        <is>
          <t>yes</t>
        </is>
      </c>
      <c r="S27" s="17" t="inlineStr">
        <is>
          <t>yes</t>
        </is>
      </c>
      <c r="T27" s="17">
        <f>IF(AND(R27="yes",S27="yes"),"yes","no")</f>
        <v/>
      </c>
    </row>
    <row r="28">
      <c r="A28" s="17" t="n">
        <v>27</v>
      </c>
      <c r="B28" s="17" t="inlineStr">
        <is>
          <t>IC-100</t>
        </is>
      </c>
      <c r="C28" s="17" t="inlineStr">
        <is>
          <t>IC-100</t>
        </is>
      </c>
      <c r="D28" s="17" t="inlineStr">
        <is>
          <t>NLRP3 / ASC</t>
        </is>
      </c>
      <c r="E28" s="17">
        <f>INDEX('Drug classes'!$B$2:$B$20,MATCH(D28,'Drug classes'!$A$2:$A$20,0))</f>
        <v/>
      </c>
      <c r="F28" s="17" t="n">
        <v>2</v>
      </c>
      <c r="G28" s="17" t="n">
        <v>100</v>
      </c>
      <c r="H28" s="17" t="inlineStr">
        <is>
          <t>Mouse</t>
        </is>
      </c>
      <c r="I28" s="2" t="inlineStr">
        <is>
          <t>Oxygen-induced retinopathy</t>
        </is>
      </c>
      <c r="J28" s="17" t="inlineStr">
        <is>
          <t>Oxygen-induced retinopathy</t>
        </is>
      </c>
      <c r="K28" s="17" t="inlineStr">
        <is>
          <t>Acute injury</t>
        </is>
      </c>
      <c r="L28" s="17" t="inlineStr">
        <is>
          <t>Intravitreal</t>
        </is>
      </c>
      <c r="M28" s="2" t="inlineStr">
        <is>
          <t>single injection at P12</t>
        </is>
      </c>
      <c r="N28" s="17" t="n">
        <v>1</v>
      </c>
      <c r="O28" s="17">
        <f>IF(N28="","Not reported",IF(N28&lt;=1,"Single dose",IF(N28&lt;=7,"2–7 days",IF(N28&lt;=28,"8–28 days",IF(N28&lt;=90,"1–3 months","&gt; 3 months")))))</f>
        <v/>
      </c>
      <c r="P28" s="17" t="n">
        <v>18</v>
      </c>
      <c r="Q28" s="17" t="inlineStr">
        <is>
          <t>No RGC readout</t>
        </is>
      </c>
      <c r="R28" s="17" t="inlineStr">
        <is>
          <t>yes</t>
        </is>
      </c>
      <c r="S28" s="17" t="inlineStr">
        <is>
          <t>yes</t>
        </is>
      </c>
      <c r="T28" s="17">
        <f>IF(AND(R28="yes",S28="yes"),"yes","no")</f>
        <v/>
      </c>
    </row>
    <row r="29">
      <c r="A29" s="17" t="n">
        <v>28</v>
      </c>
      <c r="B29" s="17" t="inlineStr">
        <is>
          <t>IC-100</t>
        </is>
      </c>
      <c r="C29" s="17" t="inlineStr">
        <is>
          <t>IC-100</t>
        </is>
      </c>
      <c r="D29" s="17" t="inlineStr">
        <is>
          <t>NLRP3 / ASC</t>
        </is>
      </c>
      <c r="E29" s="17">
        <f>INDEX('Drug classes'!$B$2:$B$20,MATCH(D29,'Drug classes'!$A$2:$A$20,0))</f>
        <v/>
      </c>
      <c r="F29" s="17" t="n">
        <v>2</v>
      </c>
      <c r="G29" s="17" t="n">
        <v>100</v>
      </c>
      <c r="H29" s="17" t="inlineStr">
        <is>
          <t>Mouse</t>
        </is>
      </c>
      <c r="I29" s="2" t="inlineStr">
        <is>
          <t>Oxygen-induced retinopathy</t>
        </is>
      </c>
      <c r="J29" s="17" t="inlineStr">
        <is>
          <t>Oxygen-induced retinopathy</t>
        </is>
      </c>
      <c r="K29" s="17" t="inlineStr">
        <is>
          <t>Acute injury</t>
        </is>
      </c>
      <c r="L29" s="17" t="inlineStr">
        <is>
          <t>Systemic</t>
        </is>
      </c>
      <c r="M29" s="2" t="inlineStr">
        <is>
          <t>i.p. P12/P14/P16</t>
        </is>
      </c>
      <c r="N29" s="17" t="n">
        <v>5</v>
      </c>
      <c r="O29" s="17">
        <f>IF(N29="","Not reported",IF(N29&lt;=1,"Single dose",IF(N29&lt;=7,"2–7 days",IF(N29&lt;=28,"8–28 days",IF(N29&lt;=90,"1–3 months","&gt; 3 months")))))</f>
        <v/>
      </c>
      <c r="P29" s="17" t="n">
        <v>18</v>
      </c>
      <c r="Q29" s="17" t="inlineStr">
        <is>
          <t>No RGC readout</t>
        </is>
      </c>
      <c r="R29" s="17" t="inlineStr">
        <is>
          <t>yes</t>
        </is>
      </c>
      <c r="S29" s="17" t="inlineStr">
        <is>
          <t>yes</t>
        </is>
      </c>
      <c r="T29" s="17">
        <f>IF(AND(R29="yes",S29="yes"),"yes","no")</f>
        <v/>
      </c>
    </row>
    <row r="30">
      <c r="A30" s="17" t="n">
        <v>29</v>
      </c>
      <c r="B30" s="17" t="inlineStr">
        <is>
          <t>TAK-242</t>
        </is>
      </c>
      <c r="C30" s="17" t="inlineStr">
        <is>
          <t>TAK-242</t>
        </is>
      </c>
      <c r="D30" s="17" t="inlineStr">
        <is>
          <t>TLR4</t>
        </is>
      </c>
      <c r="E30" s="17">
        <f>INDEX('Drug classes'!$B$2:$B$20,MATCH(D30,'Drug classes'!$A$2:$A$20,0))</f>
        <v/>
      </c>
      <c r="F30" s="17" t="n">
        <v>2</v>
      </c>
      <c r="G30" s="17" t="n">
        <v>101</v>
      </c>
      <c r="H30" s="17" t="inlineStr">
        <is>
          <t>Mouse</t>
        </is>
      </c>
      <c r="I30" s="2" t="inlineStr">
        <is>
          <t>Optic nerve crush</t>
        </is>
      </c>
      <c r="J30" s="17" t="inlineStr">
        <is>
          <t>Optic nerve crush</t>
        </is>
      </c>
      <c r="K30" s="17" t="inlineStr">
        <is>
          <t>Acute injury</t>
        </is>
      </c>
      <c r="L30" s="17" t="inlineStr">
        <is>
          <t>Intravitreal</t>
        </is>
      </c>
      <c r="M30" s="2" t="inlineStr">
        <is>
          <t>single injection</t>
        </is>
      </c>
      <c r="N30" s="17" t="n">
        <v>1</v>
      </c>
      <c r="O30" s="17">
        <f>IF(N30="","Not reported",IF(N30&lt;=1,"Single dose",IF(N30&lt;=7,"2–7 days",IF(N30&lt;=28,"8–28 days",IF(N30&lt;=90,"1–3 months","&gt; 3 months")))))</f>
        <v/>
      </c>
      <c r="P30" s="17" t="n">
        <v>10</v>
      </c>
      <c r="Q30" s="17" t="inlineStr">
        <is>
          <t>Protective</t>
        </is>
      </c>
      <c r="R30" s="17" t="inlineStr">
        <is>
          <t>yes</t>
        </is>
      </c>
      <c r="S30" s="17" t="inlineStr">
        <is>
          <t>yes</t>
        </is>
      </c>
      <c r="T30" s="17">
        <f>IF(AND(R30="yes",S30="yes"),"yes","no")</f>
        <v/>
      </c>
    </row>
    <row r="31">
      <c r="A31" s="17" t="n">
        <v>30</v>
      </c>
      <c r="B31" s="17" t="inlineStr">
        <is>
          <t>C34</t>
        </is>
      </c>
      <c r="C31" s="17" t="inlineStr">
        <is>
          <t>C34</t>
        </is>
      </c>
      <c r="D31" s="17" t="inlineStr">
        <is>
          <t>TLR4</t>
        </is>
      </c>
      <c r="E31" s="17">
        <f>INDEX('Drug classes'!$B$2:$B$20,MATCH(D31,'Drug classes'!$A$2:$A$20,0))</f>
        <v/>
      </c>
      <c r="F31" s="17" t="n">
        <v>2</v>
      </c>
      <c r="G31" s="17" t="n">
        <v>101</v>
      </c>
      <c r="H31" s="17" t="inlineStr">
        <is>
          <t>Mouse</t>
        </is>
      </c>
      <c r="I31" s="2" t="inlineStr">
        <is>
          <t>Optic nerve crush</t>
        </is>
      </c>
      <c r="J31" s="17" t="inlineStr">
        <is>
          <t>Optic nerve crush</t>
        </is>
      </c>
      <c r="K31" s="17" t="inlineStr">
        <is>
          <t>Acute injury</t>
        </is>
      </c>
      <c r="L31" s="17" t="inlineStr">
        <is>
          <t>Intravitreal</t>
        </is>
      </c>
      <c r="M31" s="2" t="inlineStr">
        <is>
          <t>single injection</t>
        </is>
      </c>
      <c r="N31" s="17" t="n">
        <v>1</v>
      </c>
      <c r="O31" s="17">
        <f>IF(N31="","Not reported",IF(N31&lt;=1,"Single dose",IF(N31&lt;=7,"2–7 days",IF(N31&lt;=28,"8–28 days",IF(N31&lt;=90,"1–3 months","&gt; 3 months")))))</f>
        <v/>
      </c>
      <c r="P31" s="17" t="n"/>
      <c r="Q31" s="17" t="inlineStr">
        <is>
          <t>No RGC readout</t>
        </is>
      </c>
      <c r="R31" s="17" t="inlineStr">
        <is>
          <t>yes</t>
        </is>
      </c>
      <c r="S31" s="17" t="inlineStr">
        <is>
          <t>yes</t>
        </is>
      </c>
      <c r="T31" s="17">
        <f>IF(AND(R31="yes",S31="yes"),"yes","no")</f>
        <v/>
      </c>
    </row>
    <row r="32">
      <c r="A32" s="17" t="n">
        <v>31</v>
      </c>
      <c r="B32" s="17" t="inlineStr">
        <is>
          <t>TAK-242</t>
        </is>
      </c>
      <c r="C32" s="17" t="inlineStr">
        <is>
          <t>TAK-242</t>
        </is>
      </c>
      <c r="D32" s="17" t="inlineStr">
        <is>
          <t>TLR4</t>
        </is>
      </c>
      <c r="E32" s="17">
        <f>INDEX('Drug classes'!$B$2:$B$20,MATCH(D32,'Drug classes'!$A$2:$A$20,0))</f>
        <v/>
      </c>
      <c r="F32" s="17" t="n">
        <v>2</v>
      </c>
      <c r="G32" s="17" t="n">
        <v>102</v>
      </c>
      <c r="H32" s="17" t="inlineStr">
        <is>
          <t>Rat</t>
        </is>
      </c>
      <c r="I32" s="2" t="inlineStr">
        <is>
          <t>Hydrogel-induced OHT</t>
        </is>
      </c>
      <c r="J32" s="17" t="inlineStr">
        <is>
          <t>Hydrogel-induced OHT</t>
        </is>
      </c>
      <c r="K32" s="17" t="inlineStr">
        <is>
          <t>Induced OHT</t>
        </is>
      </c>
      <c r="L32" s="17" t="inlineStr">
        <is>
          <t>Intravitreal</t>
        </is>
      </c>
      <c r="M32" s="2" t="inlineStr">
        <is>
          <t>weekly from day -3</t>
        </is>
      </c>
      <c r="N32" s="17" t="n">
        <v>31</v>
      </c>
      <c r="O32" s="17">
        <f>IF(N32="","Not reported",IF(N32&lt;=1,"Single dose",IF(N32&lt;=7,"2–7 days",IF(N32&lt;=28,"8–28 days",IF(N32&lt;=90,"1–3 months","&gt; 3 months")))))</f>
        <v/>
      </c>
      <c r="P32" s="17" t="n">
        <v>28</v>
      </c>
      <c r="Q32" s="17" t="inlineStr">
        <is>
          <t>Protective</t>
        </is>
      </c>
      <c r="R32" s="17" t="inlineStr">
        <is>
          <t>yes</t>
        </is>
      </c>
      <c r="S32" s="17" t="inlineStr">
        <is>
          <t>yes</t>
        </is>
      </c>
      <c r="T32" s="17">
        <f>IF(AND(R32="yes",S32="yes"),"yes","no")</f>
        <v/>
      </c>
    </row>
    <row r="33">
      <c r="A33" s="17" t="n">
        <v>32</v>
      </c>
      <c r="B33" s="17" t="inlineStr">
        <is>
          <t>JNJ47965567</t>
        </is>
      </c>
      <c r="C33" s="17" t="inlineStr">
        <is>
          <t>JNJ47965567</t>
        </is>
      </c>
      <c r="D33" s="17" t="inlineStr">
        <is>
          <t>P2X7</t>
        </is>
      </c>
      <c r="E33" s="17">
        <f>INDEX('Drug classes'!$B$2:$B$20,MATCH(D33,'Drug classes'!$A$2:$A$20,0))</f>
        <v/>
      </c>
      <c r="F33" s="17" t="n">
        <v>2</v>
      </c>
      <c r="G33" s="17" t="n">
        <v>103</v>
      </c>
      <c r="H33" s="17" t="inlineStr">
        <is>
          <t>Mouse</t>
        </is>
      </c>
      <c r="I33" s="2" t="inlineStr">
        <is>
          <t>DBA/2J</t>
        </is>
      </c>
      <c r="J33" s="17" t="inlineStr">
        <is>
          <t>DBA/2J</t>
        </is>
      </c>
      <c r="K33" s="17" t="inlineStr">
        <is>
          <t>Genetic / metabolic</t>
        </is>
      </c>
      <c r="L33" s="17" t="inlineStr">
        <is>
          <t>Topical</t>
        </is>
      </c>
      <c r="M33" s="2" t="inlineStr">
        <is>
          <t>chronic eye drops</t>
        </is>
      </c>
      <c r="N33" s="17" t="n">
        <v>154</v>
      </c>
      <c r="O33" s="17">
        <f>IF(N33="","Not reported",IF(N33&lt;=1,"Single dose",IF(N33&lt;=7,"2–7 days",IF(N33&lt;=28,"8–28 days",IF(N33&lt;=90,"1–3 months","&gt; 3 months")))))</f>
        <v/>
      </c>
      <c r="P33" s="17" t="n"/>
      <c r="Q33" s="17" t="inlineStr">
        <is>
          <t>Protective</t>
        </is>
      </c>
      <c r="R33" s="17" t="inlineStr">
        <is>
          <t>yes</t>
        </is>
      </c>
      <c r="S33" s="17" t="inlineStr">
        <is>
          <t>yes</t>
        </is>
      </c>
      <c r="T33" s="17">
        <f>IF(AND(R33="yes",S33="yes"),"yes","no")</f>
        <v/>
      </c>
    </row>
    <row r="34">
      <c r="A34" s="17" t="n">
        <v>33</v>
      </c>
      <c r="B34" s="17" t="inlineStr">
        <is>
          <t>A740003</t>
        </is>
      </c>
      <c r="C34" s="17" t="inlineStr">
        <is>
          <t>A740003</t>
        </is>
      </c>
      <c r="D34" s="17" t="inlineStr">
        <is>
          <t>P2X7</t>
        </is>
      </c>
      <c r="E34" s="17">
        <f>INDEX('Drug classes'!$B$2:$B$20,MATCH(D34,'Drug classes'!$A$2:$A$20,0))</f>
        <v/>
      </c>
      <c r="F34" s="17" t="n">
        <v>2</v>
      </c>
      <c r="G34" s="17" t="n">
        <v>104</v>
      </c>
      <c r="H34" s="17" t="inlineStr">
        <is>
          <t>Mouse</t>
        </is>
      </c>
      <c r="I34" s="2" t="inlineStr">
        <is>
          <t>Chronic OHT (method n.s.)</t>
        </is>
      </c>
      <c r="J34" s="17" t="inlineStr">
        <is>
          <t>Chronic OHT (method n.s.)</t>
        </is>
      </c>
      <c r="K34" s="17" t="inlineStr">
        <is>
          <t>Induced OHT</t>
        </is>
      </c>
      <c r="L34" s="17" t="inlineStr">
        <is>
          <t>Intravitreal</t>
        </is>
      </c>
      <c r="M34" s="2" t="inlineStr">
        <is>
          <t>pre-injection</t>
        </is>
      </c>
      <c r="N34" s="17" t="n"/>
      <c r="O34" s="17">
        <f>IF(N34="","Not reported",IF(N34&lt;=1,"Single dose",IF(N34&lt;=7,"2–7 days",IF(N34&lt;=28,"8–28 days",IF(N34&lt;=90,"1–3 months","&gt; 3 months")))))</f>
        <v/>
      </c>
      <c r="P34" s="17" t="n"/>
      <c r="Q34" s="17" t="inlineStr">
        <is>
          <t>Partial</t>
        </is>
      </c>
      <c r="R34" s="17" t="inlineStr">
        <is>
          <t>yes</t>
        </is>
      </c>
      <c r="S34" s="17" t="inlineStr">
        <is>
          <t>yes</t>
        </is>
      </c>
      <c r="T34" s="17">
        <f>IF(AND(R34="yes",S34="yes"),"yes","no")</f>
        <v/>
      </c>
    </row>
    <row r="35">
      <c r="A35" s="17" t="n">
        <v>34</v>
      </c>
      <c r="B35" s="17" t="inlineStr">
        <is>
          <t>Ripa-56</t>
        </is>
      </c>
      <c r="C35" s="17" t="inlineStr">
        <is>
          <t>Ripa-56</t>
        </is>
      </c>
      <c r="D35" s="17" t="inlineStr">
        <is>
          <t>RIPK1/3</t>
        </is>
      </c>
      <c r="E35" s="17">
        <f>INDEX('Drug classes'!$B$2:$B$20,MATCH(D35,'Drug classes'!$A$2:$A$20,0))</f>
        <v/>
      </c>
      <c r="F35" s="17" t="n">
        <v>2</v>
      </c>
      <c r="G35" s="17" t="n">
        <v>106</v>
      </c>
      <c r="H35" s="17" t="inlineStr">
        <is>
          <t>Mouse</t>
        </is>
      </c>
      <c r="I35" s="2" t="inlineStr">
        <is>
          <t>NMDA intravitreal</t>
        </is>
      </c>
      <c r="J35" s="17" t="inlineStr">
        <is>
          <t>NMDA excitotoxicity</t>
        </is>
      </c>
      <c r="K35" s="17" t="inlineStr">
        <is>
          <t>Acute injury</t>
        </is>
      </c>
      <c r="L35" s="17" t="inlineStr">
        <is>
          <t>Intravitreal</t>
        </is>
      </c>
      <c r="M35" s="2" t="inlineStr">
        <is>
          <t>co-injected with NMDA</t>
        </is>
      </c>
      <c r="N35" s="17" t="n">
        <v>1</v>
      </c>
      <c r="O35" s="17">
        <f>IF(N35="","Not reported",IF(N35&lt;=1,"Single dose",IF(N35&lt;=7,"2–7 days",IF(N35&lt;=28,"8–28 days",IF(N35&lt;=90,"1–3 months","&gt; 3 months")))))</f>
        <v/>
      </c>
      <c r="P35" s="17" t="n">
        <v>3</v>
      </c>
      <c r="Q35" s="17" t="inlineStr">
        <is>
          <t>Partial</t>
        </is>
      </c>
      <c r="R35" s="17" t="inlineStr">
        <is>
          <t>yes</t>
        </is>
      </c>
      <c r="S35" s="17" t="inlineStr">
        <is>
          <t>yes</t>
        </is>
      </c>
      <c r="T35" s="17">
        <f>IF(AND(R35="yes",S35="yes"),"yes","no")</f>
        <v/>
      </c>
    </row>
    <row r="36">
      <c r="A36" s="17" t="n">
        <v>35</v>
      </c>
      <c r="B36" s="17" t="inlineStr">
        <is>
          <t>Necrostatin-1</t>
        </is>
      </c>
      <c r="C36" s="17" t="inlineStr">
        <is>
          <t>Necrostatin-1</t>
        </is>
      </c>
      <c r="D36" s="17" t="inlineStr">
        <is>
          <t>RIPK1/3</t>
        </is>
      </c>
      <c r="E36" s="17">
        <f>INDEX('Drug classes'!$B$2:$B$20,MATCH(D36,'Drug classes'!$A$2:$A$20,0))</f>
        <v/>
      </c>
      <c r="F36" s="17" t="n">
        <v>2</v>
      </c>
      <c r="G36" s="17" t="n">
        <v>107</v>
      </c>
      <c r="H36" s="17" t="inlineStr">
        <is>
          <t>Mouse</t>
        </is>
      </c>
      <c r="I36" s="2" t="inlineStr">
        <is>
          <t>NMDA intravitreal</t>
        </is>
      </c>
      <c r="J36" s="17" t="inlineStr">
        <is>
          <t>NMDA excitotoxicity</t>
        </is>
      </c>
      <c r="K36" s="17" t="inlineStr">
        <is>
          <t>Acute injury</t>
        </is>
      </c>
      <c r="L36" s="17" t="inlineStr">
        <is>
          <t>Intravitreal</t>
        </is>
      </c>
      <c r="M36" s="2" t="inlineStr">
        <is>
          <t>co-injected with NMDA</t>
        </is>
      </c>
      <c r="N36" s="17" t="n">
        <v>1</v>
      </c>
      <c r="O36" s="17">
        <f>IF(N36="","Not reported",IF(N36&lt;=1,"Single dose",IF(N36&lt;=7,"2–7 days",IF(N36&lt;=28,"8–28 days",IF(N36&lt;=90,"1–3 months","&gt; 3 months")))))</f>
        <v/>
      </c>
      <c r="P36" s="17" t="n">
        <v>5</v>
      </c>
      <c r="Q36" s="17" t="inlineStr">
        <is>
          <t>Protective</t>
        </is>
      </c>
      <c r="R36" s="17" t="inlineStr">
        <is>
          <t>yes</t>
        </is>
      </c>
      <c r="S36" s="17" t="inlineStr">
        <is>
          <t>yes</t>
        </is>
      </c>
      <c r="T36" s="17">
        <f>IF(AND(R36="yes",S36="yes"),"yes","no")</f>
        <v/>
      </c>
    </row>
    <row r="37">
      <c r="A37" s="17" t="n">
        <v>36</v>
      </c>
      <c r="B37" s="17" t="inlineStr">
        <is>
          <t>GSK872</t>
        </is>
      </c>
      <c r="C37" s="17" t="inlineStr">
        <is>
          <t>GSK872</t>
        </is>
      </c>
      <c r="D37" s="17" t="inlineStr">
        <is>
          <t>RIPK1/3</t>
        </is>
      </c>
      <c r="E37" s="17">
        <f>INDEX('Drug classes'!$B$2:$B$20,MATCH(D37,'Drug classes'!$A$2:$A$20,0))</f>
        <v/>
      </c>
      <c r="F37" s="17" t="n">
        <v>2</v>
      </c>
      <c r="G37" s="17" t="n">
        <v>107</v>
      </c>
      <c r="H37" s="17" t="inlineStr">
        <is>
          <t>Mouse</t>
        </is>
      </c>
      <c r="I37" s="2" t="inlineStr">
        <is>
          <t>NMDA intravitreal</t>
        </is>
      </c>
      <c r="J37" s="17" t="inlineStr">
        <is>
          <t>NMDA excitotoxicity</t>
        </is>
      </c>
      <c r="K37" s="17" t="inlineStr">
        <is>
          <t>Acute injury</t>
        </is>
      </c>
      <c r="L37" s="17" t="inlineStr">
        <is>
          <t>Intravitreal</t>
        </is>
      </c>
      <c r="M37" s="2" t="inlineStr">
        <is>
          <t>co-injected with NMDA</t>
        </is>
      </c>
      <c r="N37" s="17" t="n">
        <v>1</v>
      </c>
      <c r="O37" s="17">
        <f>IF(N37="","Not reported",IF(N37&lt;=1,"Single dose",IF(N37&lt;=7,"2–7 days",IF(N37&lt;=28,"8–28 days",IF(N37&lt;=90,"1–3 months","&gt; 3 months")))))</f>
        <v/>
      </c>
      <c r="P37" s="17" t="n">
        <v>5</v>
      </c>
      <c r="Q37" s="17" t="inlineStr">
        <is>
          <t>Protective</t>
        </is>
      </c>
      <c r="R37" s="17" t="inlineStr">
        <is>
          <t>yes</t>
        </is>
      </c>
      <c r="S37" s="17" t="inlineStr">
        <is>
          <t>yes</t>
        </is>
      </c>
      <c r="T37" s="17">
        <f>IF(AND(R37="yes",S37="yes"),"yes","no")</f>
        <v/>
      </c>
    </row>
    <row r="38" ht="28" customHeight="1">
      <c r="A38" s="17" t="n">
        <v>37</v>
      </c>
      <c r="B38" s="17" t="inlineStr">
        <is>
          <t>RIC</t>
        </is>
      </c>
      <c r="C38" s="17" t="inlineStr">
        <is>
          <t>RIC</t>
        </is>
      </c>
      <c r="D38" s="17" t="inlineStr">
        <is>
          <t>RIPK1/3</t>
        </is>
      </c>
      <c r="E38" s="17">
        <f>INDEX('Drug classes'!$B$2:$B$20,MATCH(D38,'Drug classes'!$A$2:$A$20,0))</f>
        <v/>
      </c>
      <c r="F38" s="17" t="n">
        <v>2</v>
      </c>
      <c r="G38" s="17" t="n">
        <v>108</v>
      </c>
      <c r="H38" s="17" t="inlineStr">
        <is>
          <t>Rat</t>
        </is>
      </c>
      <c r="I38" s="2" t="inlineStr">
        <is>
          <t>Acute high IOP ischemia</t>
        </is>
      </c>
      <c r="J38" s="17" t="inlineStr">
        <is>
          <t>Retinal ischemia / acute IOP elevation</t>
        </is>
      </c>
      <c r="K38" s="17" t="inlineStr">
        <is>
          <t>Acute injury</t>
        </is>
      </c>
      <c r="L38" s="17" t="inlineStr">
        <is>
          <t>Systemic</t>
        </is>
      </c>
      <c r="M38" s="2" t="inlineStr">
        <is>
          <t>single i.p. dose (5 ml/kg) immediately after ischemia</t>
        </is>
      </c>
      <c r="N38" s="17" t="n">
        <v>1</v>
      </c>
      <c r="O38" s="17">
        <f>IF(N38="","Not reported",IF(N38&lt;=1,"Single dose",IF(N38&lt;=7,"2–7 days",IF(N38&lt;=28,"8–28 days",IF(N38&lt;=90,"1–3 months","&gt; 3 months")))))</f>
        <v/>
      </c>
      <c r="P38" s="17" t="n"/>
      <c r="Q38" s="17" t="inlineStr">
        <is>
          <t>Protective</t>
        </is>
      </c>
      <c r="R38" s="17" t="inlineStr">
        <is>
          <t>yes</t>
        </is>
      </c>
      <c r="S38" s="17" t="inlineStr">
        <is>
          <t>yes</t>
        </is>
      </c>
      <c r="T38" s="17">
        <f>IF(AND(R38="yes",S38="yes"),"yes","no")</f>
        <v/>
      </c>
    </row>
    <row r="39">
      <c r="A39" s="17" t="n">
        <v>38</v>
      </c>
      <c r="B39" s="17" t="inlineStr">
        <is>
          <t>GFAP antibody</t>
        </is>
      </c>
      <c r="C39" s="17" t="inlineStr">
        <is>
          <t>GFAP antibody</t>
        </is>
      </c>
      <c r="D39" s="17" t="inlineStr">
        <is>
          <t>Glial inhibition</t>
        </is>
      </c>
      <c r="E39" s="17">
        <f>INDEX('Drug classes'!$B$2:$B$20,MATCH(D39,'Drug classes'!$A$2:$A$20,0))</f>
        <v/>
      </c>
      <c r="F39" s="17" t="n">
        <v>3</v>
      </c>
      <c r="G39" s="17" t="n">
        <v>115</v>
      </c>
      <c r="H39" s="17" t="inlineStr">
        <is>
          <t>Rat</t>
        </is>
      </c>
      <c r="I39" s="2" t="inlineStr">
        <is>
          <t>Episcleral vein occlusion OHT</t>
        </is>
      </c>
      <c r="J39" s="17" t="inlineStr">
        <is>
          <t>Episcleral vein OHT</t>
        </is>
      </c>
      <c r="K39" s="17" t="inlineStr">
        <is>
          <t>Induced OHT</t>
        </is>
      </c>
      <c r="L39" s="17" t="inlineStr">
        <is>
          <t>Intravitreal</t>
        </is>
      </c>
      <c r="M39" s="2" t="inlineStr">
        <is>
          <t>single injection at week 3</t>
        </is>
      </c>
      <c r="N39" s="17" t="n">
        <v>1</v>
      </c>
      <c r="O39" s="17">
        <f>IF(N39="","Not reported",IF(N39&lt;=1,"Single dose",IF(N39&lt;=7,"2–7 days",IF(N39&lt;=28,"8–28 days",IF(N39&lt;=90,"1–3 months","&gt; 3 months")))))</f>
        <v/>
      </c>
      <c r="P39" s="17" t="n">
        <v>70</v>
      </c>
      <c r="Q39" s="17" t="inlineStr">
        <is>
          <t>Protective</t>
        </is>
      </c>
      <c r="R39" s="17" t="inlineStr">
        <is>
          <t>yes</t>
        </is>
      </c>
      <c r="S39" s="17" t="inlineStr">
        <is>
          <t>yes</t>
        </is>
      </c>
      <c r="T39" s="17">
        <f>IF(AND(R39="yes",S39="yes"),"yes","no")</f>
        <v/>
      </c>
    </row>
    <row r="40" ht="28" customHeight="1">
      <c r="A40" s="17" t="n">
        <v>39</v>
      </c>
      <c r="B40" s="17" t="inlineStr">
        <is>
          <t>Minocycline</t>
        </is>
      </c>
      <c r="C40" s="17" t="inlineStr">
        <is>
          <t>Minocycline</t>
        </is>
      </c>
      <c r="D40" s="17" t="inlineStr">
        <is>
          <t>Glial inhibition</t>
        </is>
      </c>
      <c r="E40" s="17">
        <f>INDEX('Drug classes'!$B$2:$B$20,MATCH(D40,'Drug classes'!$A$2:$A$20,0))</f>
        <v/>
      </c>
      <c r="F40" s="17" t="n">
        <v>3</v>
      </c>
      <c r="G40" s="17" t="n">
        <v>116</v>
      </c>
      <c r="H40" s="17" t="inlineStr">
        <is>
          <t>Rat</t>
        </is>
      </c>
      <c r="I40" s="2" t="inlineStr">
        <is>
          <t>Optic nerve axotomy</t>
        </is>
      </c>
      <c r="J40" s="17" t="inlineStr">
        <is>
          <t>Optic nerve axotomy / transection</t>
        </is>
      </c>
      <c r="K40" s="17" t="inlineStr">
        <is>
          <t>Acute injury</t>
        </is>
      </c>
      <c r="L40" s="17" t="inlineStr">
        <is>
          <t>Systemic</t>
        </is>
      </c>
      <c r="M40" s="2" t="inlineStr">
        <is>
          <t>i.p. 45 mg/kg/d x3 days before axotomy, then 22.5 mg/kg/d for 6-13 days after</t>
        </is>
      </c>
      <c r="N40" s="17" t="n">
        <v>17</v>
      </c>
      <c r="O40" s="17">
        <f>IF(N40="","Not reported",IF(N40&lt;=1,"Single dose",IF(N40&lt;=7,"2–7 days",IF(N40&lt;=28,"8–28 days",IF(N40&lt;=90,"1–3 months","&gt; 3 months")))))</f>
        <v/>
      </c>
      <c r="P40" s="17" t="n">
        <v>7</v>
      </c>
      <c r="Q40" s="17" t="inlineStr">
        <is>
          <t>Partial</t>
        </is>
      </c>
      <c r="R40" s="17" t="inlineStr">
        <is>
          <t>yes</t>
        </is>
      </c>
      <c r="S40" s="17" t="inlineStr">
        <is>
          <t>yes</t>
        </is>
      </c>
      <c r="T40" s="17">
        <f>IF(AND(R40="yes",S40="yes"),"yes","no")</f>
        <v/>
      </c>
    </row>
    <row r="41">
      <c r="A41" s="17" t="n">
        <v>40</v>
      </c>
      <c r="B41" s="17" t="inlineStr">
        <is>
          <t>Minocycline</t>
        </is>
      </c>
      <c r="C41" s="17" t="inlineStr">
        <is>
          <t>Minocycline</t>
        </is>
      </c>
      <c r="D41" s="17" t="inlineStr">
        <is>
          <t>Glial inhibition</t>
        </is>
      </c>
      <c r="E41" s="17">
        <f>INDEX('Drug classes'!$B$2:$B$20,MATCH(D41,'Drug classes'!$A$2:$A$20,0))</f>
        <v/>
      </c>
      <c r="F41" s="17" t="n">
        <v>3</v>
      </c>
      <c r="G41" s="17" t="n">
        <v>117</v>
      </c>
      <c r="H41" s="17" t="inlineStr">
        <is>
          <t>Mouse</t>
        </is>
      </c>
      <c r="I41" s="2" t="inlineStr">
        <is>
          <t>NMDA intravitreal</t>
        </is>
      </c>
      <c r="J41" s="17" t="inlineStr">
        <is>
          <t>NMDA excitotoxicity</t>
        </is>
      </c>
      <c r="K41" s="17" t="inlineStr">
        <is>
          <t>Acute injury</t>
        </is>
      </c>
      <c r="L41" s="17" t="inlineStr">
        <is>
          <t>Systemic</t>
        </is>
      </c>
      <c r="M41" s="2" t="inlineStr">
        <is>
          <t>single i.p. 90 mg/kg 60 min before NMDA</t>
        </is>
      </c>
      <c r="N41" s="17" t="n">
        <v>1</v>
      </c>
      <c r="O41" s="17">
        <f>IF(N41="","Not reported",IF(N41&lt;=1,"Single dose",IF(N41&lt;=7,"2–7 days",IF(N41&lt;=28,"8–28 days",IF(N41&lt;=90,"1–3 months","&gt; 3 months")))))</f>
        <v/>
      </c>
      <c r="P41" s="17" t="n"/>
      <c r="Q41" s="17" t="inlineStr">
        <is>
          <t>Protective</t>
        </is>
      </c>
      <c r="R41" s="17" t="inlineStr">
        <is>
          <t>yes</t>
        </is>
      </c>
      <c r="S41" s="17" t="inlineStr">
        <is>
          <t>yes</t>
        </is>
      </c>
      <c r="T41" s="17">
        <f>IF(AND(R41="yes",S41="yes"),"yes","no")</f>
        <v/>
      </c>
    </row>
    <row r="42">
      <c r="A42" s="17" t="n">
        <v>41</v>
      </c>
      <c r="B42" s="17" t="inlineStr">
        <is>
          <t>Minocycline</t>
        </is>
      </c>
      <c r="C42" s="17" t="inlineStr">
        <is>
          <t>Minocycline</t>
        </is>
      </c>
      <c r="D42" s="17" t="inlineStr">
        <is>
          <t>Glial inhibition</t>
        </is>
      </c>
      <c r="E42" s="17">
        <f>INDEX('Drug classes'!$B$2:$B$20,MATCH(D42,'Drug classes'!$A$2:$A$20,0))</f>
        <v/>
      </c>
      <c r="F42" s="17" t="n">
        <v>3</v>
      </c>
      <c r="G42" s="17" t="n">
        <v>118</v>
      </c>
      <c r="H42" s="17" t="inlineStr">
        <is>
          <t>Mouse</t>
        </is>
      </c>
      <c r="I42" s="2" t="inlineStr">
        <is>
          <t>DBA/2J</t>
        </is>
      </c>
      <c r="J42" s="17" t="inlineStr">
        <is>
          <t>DBA/2J</t>
        </is>
      </c>
      <c r="K42" s="17" t="inlineStr">
        <is>
          <t>Genetic / metabolic</t>
        </is>
      </c>
      <c r="L42" s="17" t="inlineStr">
        <is>
          <t>Systemic</t>
        </is>
      </c>
      <c r="M42" s="2" t="inlineStr">
        <is>
          <t>systemic for 25 weeks</t>
        </is>
      </c>
      <c r="N42" s="17" t="n">
        <v>175</v>
      </c>
      <c r="O42" s="17">
        <f>IF(N42="","Not reported",IF(N42&lt;=1,"Single dose",IF(N42&lt;=7,"2–7 days",IF(N42&lt;=28,"8–28 days",IF(N42&lt;=90,"1–3 months","&gt; 3 months")))))</f>
        <v/>
      </c>
      <c r="P42" s="17" t="n"/>
      <c r="Q42" s="17" t="inlineStr">
        <is>
          <t>Protective</t>
        </is>
      </c>
      <c r="R42" s="17" t="inlineStr">
        <is>
          <t>yes</t>
        </is>
      </c>
      <c r="S42" s="17" t="inlineStr">
        <is>
          <t>yes</t>
        </is>
      </c>
      <c r="T42" s="17">
        <f>IF(AND(R42="yes",S42="yes"),"yes","no")</f>
        <v/>
      </c>
    </row>
    <row r="43">
      <c r="A43" s="17" t="n">
        <v>42</v>
      </c>
      <c r="B43" s="17" t="inlineStr">
        <is>
          <t>Minocycline</t>
        </is>
      </c>
      <c r="C43" s="17" t="inlineStr">
        <is>
          <t>Minocycline</t>
        </is>
      </c>
      <c r="D43" s="17" t="inlineStr">
        <is>
          <t>Glial inhibition</t>
        </is>
      </c>
      <c r="E43" s="17">
        <f>INDEX('Drug classes'!$B$2:$B$20,MATCH(D43,'Drug classes'!$A$2:$A$20,0))</f>
        <v/>
      </c>
      <c r="F43" s="17" t="n">
        <v>3</v>
      </c>
      <c r="G43" s="17" t="n">
        <v>120</v>
      </c>
      <c r="H43" s="17" t="inlineStr">
        <is>
          <t>Rat</t>
        </is>
      </c>
      <c r="I43" s="2" t="inlineStr">
        <is>
          <t>Optic nerve transection</t>
        </is>
      </c>
      <c r="J43" s="17" t="inlineStr">
        <is>
          <t>Optic nerve axotomy / transection</t>
        </is>
      </c>
      <c r="K43" s="17" t="inlineStr">
        <is>
          <t>Acute injury</t>
        </is>
      </c>
      <c r="L43" s="17" t="inlineStr">
        <is>
          <t>Systemic</t>
        </is>
      </c>
      <c r="M43" s="2" t="inlineStr">
        <is>
          <t>i.p. daily from day -3</t>
        </is>
      </c>
      <c r="N43" s="17" t="n">
        <v>7</v>
      </c>
      <c r="O43" s="17">
        <f>IF(N43="","Not reported",IF(N43&lt;=1,"Single dose",IF(N43&lt;=7,"2–7 days",IF(N43&lt;=28,"8–28 days",IF(N43&lt;=90,"1–3 months","&gt; 3 months")))))</f>
        <v/>
      </c>
      <c r="P43" s="17" t="n">
        <v>3</v>
      </c>
      <c r="Q43" s="17" t="inlineStr">
        <is>
          <t>No RGC readout</t>
        </is>
      </c>
      <c r="R43" s="17" t="inlineStr">
        <is>
          <t>yes</t>
        </is>
      </c>
      <c r="S43" s="17" t="inlineStr">
        <is>
          <t>yes</t>
        </is>
      </c>
      <c r="T43" s="17">
        <f>IF(AND(R43="yes",S43="yes"),"yes","no")</f>
        <v/>
      </c>
    </row>
    <row r="44">
      <c r="A44" s="17" t="n">
        <v>43</v>
      </c>
      <c r="B44" s="17" t="inlineStr">
        <is>
          <t>Minocycline</t>
        </is>
      </c>
      <c r="C44" s="17" t="inlineStr">
        <is>
          <t>Minocycline</t>
        </is>
      </c>
      <c r="D44" s="17" t="inlineStr">
        <is>
          <t>Glial inhibition</t>
        </is>
      </c>
      <c r="E44" s="17">
        <f>INDEX('Drug classes'!$B$2:$B$20,MATCH(D44,'Drug classes'!$A$2:$A$20,0))</f>
        <v/>
      </c>
      <c r="F44" s="17" t="n">
        <v>3</v>
      </c>
      <c r="G44" s="17" t="n">
        <v>121</v>
      </c>
      <c r="H44" s="17" t="inlineStr">
        <is>
          <t>Rat</t>
        </is>
      </c>
      <c r="I44" s="2" t="inlineStr">
        <is>
          <t>S100B intravitreal</t>
        </is>
      </c>
      <c r="J44" s="17" t="inlineStr">
        <is>
          <t>S100B intravitreal</t>
        </is>
      </c>
      <c r="K44" s="17" t="inlineStr">
        <is>
          <t>Acute injury</t>
        </is>
      </c>
      <c r="L44" s="17" t="inlineStr">
        <is>
          <t>Systemic</t>
        </is>
      </c>
      <c r="M44" s="2" t="inlineStr">
        <is>
          <t>i.p. daily day -1 to 14</t>
        </is>
      </c>
      <c r="N44" s="17" t="n">
        <v>16</v>
      </c>
      <c r="O44" s="17">
        <f>IF(N44="","Not reported",IF(N44&lt;=1,"Single dose",IF(N44&lt;=7,"2–7 days",IF(N44&lt;=28,"8–28 days",IF(N44&lt;=90,"1–3 months","&gt; 3 months")))))</f>
        <v/>
      </c>
      <c r="P44" s="17" t="n">
        <v>14</v>
      </c>
      <c r="Q44" s="17" t="inlineStr">
        <is>
          <t>Partial</t>
        </is>
      </c>
      <c r="R44" s="17" t="inlineStr">
        <is>
          <t>yes</t>
        </is>
      </c>
      <c r="S44" s="17" t="inlineStr">
        <is>
          <t>yes</t>
        </is>
      </c>
      <c r="T44" s="17">
        <f>IF(AND(R44="yes",S44="yes"),"yes","no")</f>
        <v/>
      </c>
    </row>
    <row r="45">
      <c r="A45" s="17" t="n">
        <v>44</v>
      </c>
      <c r="B45" s="17" t="inlineStr">
        <is>
          <t>Minocycline</t>
        </is>
      </c>
      <c r="C45" s="17" t="inlineStr">
        <is>
          <t>Minocycline</t>
        </is>
      </c>
      <c r="D45" s="17" t="inlineStr">
        <is>
          <t>Glial inhibition</t>
        </is>
      </c>
      <c r="E45" s="17">
        <f>INDEX('Drug classes'!$B$2:$B$20,MATCH(D45,'Drug classes'!$A$2:$A$20,0))</f>
        <v/>
      </c>
      <c r="F45" s="17" t="n">
        <v>3</v>
      </c>
      <c r="G45" s="17" t="n">
        <v>122</v>
      </c>
      <c r="H45" s="17" t="inlineStr">
        <is>
          <t>Mouse</t>
        </is>
      </c>
      <c r="I45" s="2" t="inlineStr">
        <is>
          <t>Laser-induced OHT</t>
        </is>
      </c>
      <c r="J45" s="17" t="inlineStr">
        <is>
          <t>Laser-induced OHT</t>
        </is>
      </c>
      <c r="K45" s="17" t="inlineStr">
        <is>
          <t>Induced OHT</t>
        </is>
      </c>
      <c r="L45" s="17" t="inlineStr">
        <is>
          <t>Systemic</t>
        </is>
      </c>
      <c r="M45" s="2" t="inlineStr">
        <is>
          <t>i.p. daily from day -1</t>
        </is>
      </c>
      <c r="N45" s="17" t="n">
        <v>16</v>
      </c>
      <c r="O45" s="17">
        <f>IF(N45="","Not reported",IF(N45&lt;=1,"Single dose",IF(N45&lt;=7,"2–7 days",IF(N45&lt;=28,"8–28 days",IF(N45&lt;=90,"1–3 months","&gt; 3 months")))))</f>
        <v/>
      </c>
      <c r="P45" s="17" t="n">
        <v>15</v>
      </c>
      <c r="Q45" s="17" t="inlineStr">
        <is>
          <t>No protection</t>
        </is>
      </c>
      <c r="R45" s="17" t="inlineStr">
        <is>
          <t>yes</t>
        </is>
      </c>
      <c r="S45" s="17" t="inlineStr">
        <is>
          <t>yes</t>
        </is>
      </c>
      <c r="T45" s="17">
        <f>IF(AND(R45="yes",S45="yes"),"yes","no")</f>
        <v/>
      </c>
    </row>
    <row r="46">
      <c r="A46" s="17" t="n">
        <v>45</v>
      </c>
      <c r="B46" s="17" t="inlineStr">
        <is>
          <t>K-115</t>
        </is>
      </c>
      <c r="C46" s="17" t="inlineStr">
        <is>
          <t>K-115</t>
        </is>
      </c>
      <c r="D46" s="17" t="inlineStr">
        <is>
          <t>Rho kinase</t>
        </is>
      </c>
      <c r="E46" s="17">
        <f>INDEX('Drug classes'!$B$2:$B$20,MATCH(D46,'Drug classes'!$A$2:$A$20,0))</f>
        <v/>
      </c>
      <c r="F46" s="17" t="n">
        <v>3</v>
      </c>
      <c r="G46" s="17" t="n">
        <v>124</v>
      </c>
      <c r="H46" s="17" t="inlineStr">
        <is>
          <t>Mouse</t>
        </is>
      </c>
      <c r="I46" s="2" t="inlineStr">
        <is>
          <t>Optic nerve crush</t>
        </is>
      </c>
      <c r="J46" s="17" t="inlineStr">
        <is>
          <t>Optic nerve crush</t>
        </is>
      </c>
      <c r="K46" s="17" t="inlineStr">
        <is>
          <t>Acute injury</t>
        </is>
      </c>
      <c r="L46" s="17" t="inlineStr">
        <is>
          <t>Topical</t>
        </is>
      </c>
      <c r="M46" s="2" t="inlineStr">
        <is>
          <t>9 doses day -3 to 14</t>
        </is>
      </c>
      <c r="N46" s="17" t="n">
        <v>18</v>
      </c>
      <c r="O46" s="17">
        <f>IF(N46="","Not reported",IF(N46&lt;=1,"Single dose",IF(N46&lt;=7,"2–7 days",IF(N46&lt;=28,"8–28 days",IF(N46&lt;=90,"1–3 months","&gt; 3 months")))))</f>
        <v/>
      </c>
      <c r="P46" s="17" t="n">
        <v>14</v>
      </c>
      <c r="Q46" s="17" t="inlineStr">
        <is>
          <t>Partial</t>
        </is>
      </c>
      <c r="R46" s="17" t="inlineStr">
        <is>
          <t>yes</t>
        </is>
      </c>
      <c r="S46" s="17" t="inlineStr">
        <is>
          <t>yes</t>
        </is>
      </c>
      <c r="T46" s="17">
        <f>IF(AND(R46="yes",S46="yes"),"yes","no")</f>
        <v/>
      </c>
    </row>
    <row r="47">
      <c r="A47" s="17" t="n">
        <v>46</v>
      </c>
      <c r="B47" s="17" t="inlineStr">
        <is>
          <t>K-115</t>
        </is>
      </c>
      <c r="C47" s="17" t="inlineStr">
        <is>
          <t>K-115</t>
        </is>
      </c>
      <c r="D47" s="17" t="inlineStr">
        <is>
          <t>Rho kinase</t>
        </is>
      </c>
      <c r="E47" s="17">
        <f>INDEX('Drug classes'!$B$2:$B$20,MATCH(D47,'Drug classes'!$A$2:$A$20,0))</f>
        <v/>
      </c>
      <c r="F47" s="17" t="n">
        <v>3</v>
      </c>
      <c r="G47" s="17" t="n">
        <v>124</v>
      </c>
      <c r="H47" s="17" t="inlineStr">
        <is>
          <t>Mouse</t>
        </is>
      </c>
      <c r="I47" s="2" t="inlineStr">
        <is>
          <t>Microbead OHT</t>
        </is>
      </c>
      <c r="J47" s="17" t="inlineStr">
        <is>
          <t>Microbead OHT</t>
        </is>
      </c>
      <c r="K47" s="17" t="inlineStr">
        <is>
          <t>Induced OHT</t>
        </is>
      </c>
      <c r="L47" s="17" t="inlineStr">
        <is>
          <t>Topical</t>
        </is>
      </c>
      <c r="M47" s="2" t="inlineStr">
        <is>
          <t>9 doses day -3 to 14</t>
        </is>
      </c>
      <c r="N47" s="17" t="n">
        <v>18</v>
      </c>
      <c r="O47" s="17">
        <f>IF(N47="","Not reported",IF(N47&lt;=1,"Single dose",IF(N47&lt;=7,"2–7 days",IF(N47&lt;=28,"8–28 days",IF(N47&lt;=90,"1–3 months","&gt; 3 months")))))</f>
        <v/>
      </c>
      <c r="P47" s="17" t="n">
        <v>42</v>
      </c>
      <c r="Q47" s="17" t="inlineStr">
        <is>
          <t>Protective</t>
        </is>
      </c>
      <c r="R47" s="17" t="inlineStr">
        <is>
          <t>yes</t>
        </is>
      </c>
      <c r="S47" s="17" t="inlineStr">
        <is>
          <t>yes</t>
        </is>
      </c>
      <c r="T47" s="17">
        <f>IF(AND(R47="yes",S47="yes"),"yes","no")</f>
        <v/>
      </c>
    </row>
    <row r="48" ht="28" customHeight="1">
      <c r="A48" s="17" t="n">
        <v>47</v>
      </c>
      <c r="B48" s="17" t="inlineStr">
        <is>
          <t>K-115</t>
        </is>
      </c>
      <c r="C48" s="17" t="inlineStr">
        <is>
          <t>K-115</t>
        </is>
      </c>
      <c r="D48" s="17" t="inlineStr">
        <is>
          <t>Rho kinase</t>
        </is>
      </c>
      <c r="E48" s="17">
        <f>INDEX('Drug classes'!$B$2:$B$20,MATCH(D48,'Drug classes'!$A$2:$A$20,0))</f>
        <v/>
      </c>
      <c r="F48" s="17" t="n">
        <v>3</v>
      </c>
      <c r="G48" s="17" t="n">
        <v>125</v>
      </c>
      <c r="H48" s="17" t="inlineStr">
        <is>
          <t>Mouse</t>
        </is>
      </c>
      <c r="I48" s="2" t="inlineStr">
        <is>
          <t>Optic nerve crush</t>
        </is>
      </c>
      <c r="J48" s="17" t="inlineStr">
        <is>
          <t>Optic nerve crush</t>
        </is>
      </c>
      <c r="K48" s="17" t="inlineStr">
        <is>
          <t>Acute injury</t>
        </is>
      </c>
      <c r="L48" s="17" t="inlineStr">
        <is>
          <t>Systemic</t>
        </is>
      </c>
      <c r="M48" s="2" t="inlineStr">
        <is>
          <t>oral 1 mg/kg 15 min before crush, then once daily for 7 days from the day after</t>
        </is>
      </c>
      <c r="N48" s="17" t="n">
        <v>8</v>
      </c>
      <c r="O48" s="17">
        <f>IF(N48="","Not reported",IF(N48&lt;=1,"Single dose",IF(N48&lt;=7,"2–7 days",IF(N48&lt;=28,"8–28 days",IF(N48&lt;=90,"1–3 months","&gt; 3 months")))))</f>
        <v/>
      </c>
      <c r="P48" s="17" t="n"/>
      <c r="Q48" s="17" t="inlineStr">
        <is>
          <t>Protective</t>
        </is>
      </c>
      <c r="R48" s="17" t="inlineStr">
        <is>
          <t>yes</t>
        </is>
      </c>
      <c r="S48" s="17" t="inlineStr">
        <is>
          <t>yes</t>
        </is>
      </c>
      <c r="T48" s="17">
        <f>IF(AND(R48="yes",S48="yes"),"yes","no")</f>
        <v/>
      </c>
    </row>
    <row r="49" ht="42" customHeight="1">
      <c r="A49" s="17" t="n">
        <v>48</v>
      </c>
      <c r="B49" s="17" t="inlineStr">
        <is>
          <t>Y-39983</t>
        </is>
      </c>
      <c r="C49" s="17" t="inlineStr">
        <is>
          <t>Y-39983</t>
        </is>
      </c>
      <c r="D49" s="17" t="inlineStr">
        <is>
          <t>Rho kinase</t>
        </is>
      </c>
      <c r="E49" s="17">
        <f>INDEX('Drug classes'!$B$2:$B$20,MATCH(D49,'Drug classes'!$A$2:$A$20,0))</f>
        <v/>
      </c>
      <c r="F49" s="17" t="n">
        <v>3</v>
      </c>
      <c r="G49" s="17" t="n">
        <v>126</v>
      </c>
      <c r="H49" s="17" t="inlineStr">
        <is>
          <t>Rat</t>
        </is>
      </c>
      <c r="I49" s="2" t="inlineStr">
        <is>
          <t>Axotomy + peripheral nerve graft</t>
        </is>
      </c>
      <c r="J49" s="17" t="inlineStr">
        <is>
          <t>Optic nerve axotomy / transection</t>
        </is>
      </c>
      <c r="K49" s="17" t="inlineStr">
        <is>
          <t>Acute injury</t>
        </is>
      </c>
      <c r="L49" s="17" t="inlineStr">
        <is>
          <t>Intravitreal</t>
        </is>
      </c>
      <c r="M49" s="2" t="inlineStr">
        <is>
          <t>single intravitreal injection (10 or 100 uM final) + Y-39983-soaked gelatin sponge at optic nerve stump, at surgery</t>
        </is>
      </c>
      <c r="N49" s="17" t="n">
        <v>1</v>
      </c>
      <c r="O49" s="17">
        <f>IF(N49="","Not reported",IF(N49&lt;=1,"Single dose",IF(N49&lt;=7,"2–7 days",IF(N49&lt;=28,"8–28 days",IF(N49&lt;=90,"1–3 months","&gt; 3 months")))))</f>
        <v/>
      </c>
      <c r="P49" s="17" t="n">
        <v>45</v>
      </c>
      <c r="Q49" s="17" t="inlineStr">
        <is>
          <t>No RGC readout</t>
        </is>
      </c>
      <c r="R49" s="17" t="inlineStr">
        <is>
          <t>yes</t>
        </is>
      </c>
      <c r="S49" s="17" t="inlineStr">
        <is>
          <t>yes</t>
        </is>
      </c>
      <c r="T49" s="17">
        <f>IF(AND(R49="yes",S49="yes"),"yes","no")</f>
        <v/>
      </c>
    </row>
    <row r="50" ht="28" customHeight="1">
      <c r="A50" s="17" t="n">
        <v>49</v>
      </c>
      <c r="B50" s="17" t="inlineStr">
        <is>
          <t>Ibudilast</t>
        </is>
      </c>
      <c r="C50" s="17" t="inlineStr">
        <is>
          <t>Ibudilast</t>
        </is>
      </c>
      <c r="D50" s="17" t="inlineStr">
        <is>
          <t>PDE</t>
        </is>
      </c>
      <c r="E50" s="17">
        <f>INDEX('Drug classes'!$B$2:$B$20,MATCH(D50,'Drug classes'!$A$2:$A$20,0))</f>
        <v/>
      </c>
      <c r="F50" s="17" t="n">
        <v>3</v>
      </c>
      <c r="G50" s="17" t="n">
        <v>128</v>
      </c>
      <c r="H50" s="17" t="inlineStr">
        <is>
          <t>Rat</t>
        </is>
      </c>
      <c r="I50" s="2" t="inlineStr">
        <is>
          <t>Hypertonic saline episcleral vein OHT</t>
        </is>
      </c>
      <c r="J50" s="17" t="inlineStr">
        <is>
          <t>Hypertonic saline OHT</t>
        </is>
      </c>
      <c r="K50" s="17" t="inlineStr">
        <is>
          <t>Induced OHT</t>
        </is>
      </c>
      <c r="L50" s="17" t="inlineStr">
        <is>
          <t>Intravitreal</t>
        </is>
      </c>
      <c r="M50" s="2" t="inlineStr">
        <is>
          <t>intravitreal 5 uL 500 uM at 1 and 2 weeks after OHT induction</t>
        </is>
      </c>
      <c r="N50" s="17" t="n">
        <v>8</v>
      </c>
      <c r="O50" s="17">
        <f>IF(N50="","Not reported",IF(N50&lt;=1,"Single dose",IF(N50&lt;=7,"2–7 days",IF(N50&lt;=28,"8–28 days",IF(N50&lt;=90,"1–3 months","&gt; 3 months")))))</f>
        <v/>
      </c>
      <c r="P50" s="17" t="n">
        <v>21</v>
      </c>
      <c r="Q50" s="17" t="inlineStr">
        <is>
          <t>Protective</t>
        </is>
      </c>
      <c r="R50" s="17" t="inlineStr">
        <is>
          <t>yes</t>
        </is>
      </c>
      <c r="S50" s="17" t="inlineStr">
        <is>
          <t>yes</t>
        </is>
      </c>
      <c r="T50" s="17">
        <f>IF(AND(R50="yes",S50="yes"),"yes","no")</f>
        <v/>
      </c>
    </row>
    <row r="51">
      <c r="A51" s="17" t="n">
        <v>50</v>
      </c>
      <c r="B51" s="17" t="inlineStr">
        <is>
          <t>Tadalafil</t>
        </is>
      </c>
      <c r="C51" s="17" t="inlineStr">
        <is>
          <t>Tadalafil</t>
        </is>
      </c>
      <c r="D51" s="17" t="inlineStr">
        <is>
          <t>PDE</t>
        </is>
      </c>
      <c r="E51" s="17">
        <f>INDEX('Drug classes'!$B$2:$B$20,MATCH(D51,'Drug classes'!$A$2:$A$20,0))</f>
        <v/>
      </c>
      <c r="F51" s="17" t="n">
        <v>3</v>
      </c>
      <c r="G51" s="17" t="n">
        <v>129</v>
      </c>
      <c r="H51" s="17" t="inlineStr">
        <is>
          <t>Mouse</t>
        </is>
      </c>
      <c r="I51" s="2" t="inlineStr">
        <is>
          <t>GC-1−/−</t>
        </is>
      </c>
      <c r="J51" s="17" t="inlineStr">
        <is>
          <t>GC-1−/−</t>
        </is>
      </c>
      <c r="K51" s="17" t="inlineStr">
        <is>
          <t>Genetic / metabolic</t>
        </is>
      </c>
      <c r="L51" s="17" t="inlineStr">
        <is>
          <t>Systemic</t>
        </is>
      </c>
      <c r="M51" s="2" t="inlineStr">
        <is>
          <t>oral chow 10 months</t>
        </is>
      </c>
      <c r="N51" s="17" t="n">
        <v>304</v>
      </c>
      <c r="O51" s="17">
        <f>IF(N51="","Not reported",IF(N51&lt;=1,"Single dose",IF(N51&lt;=7,"2–7 days",IF(N51&lt;=28,"8–28 days",IF(N51&lt;=90,"1–3 months","&gt; 3 months")))))</f>
        <v/>
      </c>
      <c r="P51" s="17" t="n"/>
      <c r="Q51" s="17" t="inlineStr">
        <is>
          <t>Protective</t>
        </is>
      </c>
      <c r="R51" s="17" t="inlineStr">
        <is>
          <t>yes</t>
        </is>
      </c>
      <c r="S51" s="17" t="inlineStr">
        <is>
          <t>yes</t>
        </is>
      </c>
      <c r="T51" s="17">
        <f>IF(AND(R51="yes",S51="yes"),"yes","no")</f>
        <v/>
      </c>
    </row>
    <row r="52">
      <c r="A52" s="17" t="n">
        <v>51</v>
      </c>
      <c r="B52" s="17" t="inlineStr">
        <is>
          <t>Tadalafil</t>
        </is>
      </c>
      <c r="C52" s="17" t="inlineStr">
        <is>
          <t>Tadalafil</t>
        </is>
      </c>
      <c r="D52" s="17" t="inlineStr">
        <is>
          <t>PDE</t>
        </is>
      </c>
      <c r="E52" s="17">
        <f>INDEX('Drug classes'!$B$2:$B$20,MATCH(D52,'Drug classes'!$A$2:$A$20,0))</f>
        <v/>
      </c>
      <c r="F52" s="17" t="n">
        <v>3</v>
      </c>
      <c r="G52" s="17" t="n">
        <v>129</v>
      </c>
      <c r="H52" s="17" t="inlineStr">
        <is>
          <t>Mouse</t>
        </is>
      </c>
      <c r="I52" s="2" t="inlineStr">
        <is>
          <t>Microbead OHT</t>
        </is>
      </c>
      <c r="J52" s="17" t="inlineStr">
        <is>
          <t>Microbead OHT</t>
        </is>
      </c>
      <c r="K52" s="17" t="inlineStr">
        <is>
          <t>Induced OHT</t>
        </is>
      </c>
      <c r="L52" s="17" t="inlineStr">
        <is>
          <t>Systemic</t>
        </is>
      </c>
      <c r="M52" s="2" t="inlineStr">
        <is>
          <t>oral chow day -3 to 28</t>
        </is>
      </c>
      <c r="N52" s="17" t="n">
        <v>31</v>
      </c>
      <c r="O52" s="17">
        <f>IF(N52="","Not reported",IF(N52&lt;=1,"Single dose",IF(N52&lt;=7,"2–7 days",IF(N52&lt;=28,"8–28 days",IF(N52&lt;=90,"1–3 months","&gt; 3 months")))))</f>
        <v/>
      </c>
      <c r="P52" s="17" t="n">
        <v>28</v>
      </c>
      <c r="Q52" s="17" t="inlineStr">
        <is>
          <t>Protective</t>
        </is>
      </c>
      <c r="R52" s="17" t="inlineStr">
        <is>
          <t>yes</t>
        </is>
      </c>
      <c r="S52" s="17" t="inlineStr">
        <is>
          <t>yes</t>
        </is>
      </c>
      <c r="T52" s="17">
        <f>IF(AND(R52="yes",S52="yes"),"yes","no")</f>
        <v/>
      </c>
    </row>
    <row r="53" ht="28" customHeight="1">
      <c r="A53" s="17" t="n">
        <v>52</v>
      </c>
      <c r="B53" s="17" t="inlineStr">
        <is>
          <t>Ginkgo biloba (EGb 761)</t>
        </is>
      </c>
      <c r="C53" s="17" t="inlineStr">
        <is>
          <t>Ginkgo biloba</t>
        </is>
      </c>
      <c r="D53" s="17" t="inlineStr">
        <is>
          <t>Antioxidant</t>
        </is>
      </c>
      <c r="E53" s="17">
        <f>INDEX('Drug classes'!$B$2:$B$20,MATCH(D53,'Drug classes'!$A$2:$A$20,0))</f>
        <v/>
      </c>
      <c r="F53" s="17" t="n">
        <v>3</v>
      </c>
      <c r="G53" s="17" t="n">
        <v>130</v>
      </c>
      <c r="H53" s="17" t="inlineStr">
        <is>
          <t>Rat</t>
        </is>
      </c>
      <c r="I53" s="2" t="inlineStr">
        <is>
          <t>Episcleral vein cauterization OHT</t>
        </is>
      </c>
      <c r="J53" s="17" t="inlineStr">
        <is>
          <t>Episcleral vein OHT</t>
        </is>
      </c>
      <c r="K53" s="17" t="inlineStr">
        <is>
          <t>Induced OHT</t>
        </is>
      </c>
      <c r="L53" s="17" t="inlineStr">
        <is>
          <t>Systemic</t>
        </is>
      </c>
      <c r="M53" s="2" t="inlineStr">
        <is>
          <t>drinking water 100 mg/kg/day from cauterization for 5 months</t>
        </is>
      </c>
      <c r="N53" s="17" t="n">
        <v>150</v>
      </c>
      <c r="O53" s="17">
        <f>IF(N53="","Not reported",IF(N53&lt;=1,"Single dose",IF(N53&lt;=7,"2–7 days",IF(N53&lt;=28,"8–28 days",IF(N53&lt;=90,"1–3 months","&gt; 3 months")))))</f>
        <v/>
      </c>
      <c r="P53" s="17" t="n">
        <v>150</v>
      </c>
      <c r="Q53" s="17" t="inlineStr">
        <is>
          <t>Protective</t>
        </is>
      </c>
      <c r="R53" s="17" t="inlineStr">
        <is>
          <t>yes</t>
        </is>
      </c>
      <c r="S53" s="17" t="inlineStr">
        <is>
          <t>yes</t>
        </is>
      </c>
      <c r="T53" s="17">
        <f>IF(AND(R53="yes",S53="yes"),"yes","no")</f>
        <v/>
      </c>
    </row>
    <row r="54">
      <c r="A54" s="17" t="n">
        <v>53</v>
      </c>
      <c r="B54" s="17" t="inlineStr">
        <is>
          <t>Ginkgo biloba</t>
        </is>
      </c>
      <c r="C54" s="17" t="inlineStr">
        <is>
          <t>Ginkgo biloba</t>
        </is>
      </c>
      <c r="D54" s="17" t="inlineStr">
        <is>
          <t>Antioxidant</t>
        </is>
      </c>
      <c r="E54" s="17">
        <f>INDEX('Drug classes'!$B$2:$B$20,MATCH(D54,'Drug classes'!$A$2:$A$20,0))</f>
        <v/>
      </c>
      <c r="F54" s="17" t="n">
        <v>3</v>
      </c>
      <c r="G54" s="17" t="n">
        <v>131</v>
      </c>
      <c r="H54" s="17" t="inlineStr">
        <is>
          <t>Rat</t>
        </is>
      </c>
      <c r="I54" s="2" t="inlineStr">
        <is>
          <t>Optic nerve crush</t>
        </is>
      </c>
      <c r="J54" s="17" t="inlineStr">
        <is>
          <t>Optic nerve crush</t>
        </is>
      </c>
      <c r="K54" s="17" t="inlineStr">
        <is>
          <t>Acute injury</t>
        </is>
      </c>
      <c r="L54" s="17" t="inlineStr">
        <is>
          <t>Systemic</t>
        </is>
      </c>
      <c r="M54" s="2" t="inlineStr">
        <is>
          <t>intragastric daily from 2 h after crush until 4 weeks</t>
        </is>
      </c>
      <c r="N54" s="17" t="n">
        <v>28</v>
      </c>
      <c r="O54" s="17">
        <f>IF(N54="","Not reported",IF(N54&lt;=1,"Single dose",IF(N54&lt;=7,"2–7 days",IF(N54&lt;=28,"8–28 days",IF(N54&lt;=90,"1–3 months","&gt; 3 months")))))</f>
        <v/>
      </c>
      <c r="P54" s="17" t="n">
        <v>28</v>
      </c>
      <c r="Q54" s="17" t="inlineStr">
        <is>
          <t>Protective</t>
        </is>
      </c>
      <c r="R54" s="17" t="inlineStr">
        <is>
          <t>yes</t>
        </is>
      </c>
      <c r="S54" s="17" t="inlineStr">
        <is>
          <t>yes</t>
        </is>
      </c>
      <c r="T54" s="17">
        <f>IF(AND(R54="yes",S54="yes"),"yes","no")</f>
        <v/>
      </c>
    </row>
    <row r="55">
      <c r="A55" s="17" t="n">
        <v>54</v>
      </c>
      <c r="B55" s="17" t="inlineStr">
        <is>
          <t>Ginkgo biloba</t>
        </is>
      </c>
      <c r="C55" s="17" t="inlineStr">
        <is>
          <t>Ginkgo biloba</t>
        </is>
      </c>
      <c r="D55" s="17" t="inlineStr">
        <is>
          <t>Antioxidant</t>
        </is>
      </c>
      <c r="E55" s="17">
        <f>INDEX('Drug classes'!$B$2:$B$20,MATCH(D55,'Drug classes'!$A$2:$A$20,0))</f>
        <v/>
      </c>
      <c r="F55" s="17" t="n">
        <v>3</v>
      </c>
      <c r="G55" s="17" t="n">
        <v>132</v>
      </c>
      <c r="H55" s="17" t="inlineStr">
        <is>
          <t>Rat</t>
        </is>
      </c>
      <c r="I55" s="2" t="inlineStr">
        <is>
          <t>Optic nerve crush</t>
        </is>
      </c>
      <c r="J55" s="17" t="inlineStr">
        <is>
          <t>Optic nerve crush</t>
        </is>
      </c>
      <c r="K55" s="17" t="inlineStr">
        <is>
          <t>Acute injury</t>
        </is>
      </c>
      <c r="L55" s="17" t="inlineStr">
        <is>
          <t>Systemic</t>
        </is>
      </c>
      <c r="M55" s="2" t="inlineStr">
        <is>
          <t>i.p. daily</t>
        </is>
      </c>
      <c r="N55" s="17" t="n">
        <v>28</v>
      </c>
      <c r="O55" s="17">
        <f>IF(N55="","Not reported",IF(N55&lt;=1,"Single dose",IF(N55&lt;=7,"2–7 days",IF(N55&lt;=28,"8–28 days",IF(N55&lt;=90,"1–3 months","&gt; 3 months")))))</f>
        <v/>
      </c>
      <c r="P55" s="17" t="n">
        <v>28</v>
      </c>
      <c r="Q55" s="17" t="inlineStr">
        <is>
          <t>Protective</t>
        </is>
      </c>
      <c r="R55" s="17" t="inlineStr">
        <is>
          <t>yes</t>
        </is>
      </c>
      <c r="S55" s="17" t="inlineStr">
        <is>
          <t>yes</t>
        </is>
      </c>
      <c r="T55" s="17">
        <f>IF(AND(R55="yes",S55="yes"),"yes","no")</f>
        <v/>
      </c>
    </row>
    <row r="56" ht="28" customHeight="1">
      <c r="A56" s="17" t="n">
        <v>55</v>
      </c>
      <c r="B56" s="17" t="inlineStr">
        <is>
          <t>Ginkgo biloba (ginkgolides; DGMI)</t>
        </is>
      </c>
      <c r="C56" s="17" t="inlineStr">
        <is>
          <t>Ginkgo biloba</t>
        </is>
      </c>
      <c r="D56" s="17" t="inlineStr">
        <is>
          <t>Antioxidant</t>
        </is>
      </c>
      <c r="E56" s="17">
        <f>INDEX('Drug classes'!$B$2:$B$20,MATCH(D56,'Drug classes'!$A$2:$A$20,0))</f>
        <v/>
      </c>
      <c r="F56" s="17" t="n">
        <v>3</v>
      </c>
      <c r="G56" s="17" t="n">
        <v>133</v>
      </c>
      <c r="H56" s="17" t="inlineStr">
        <is>
          <t>Rat</t>
        </is>
      </c>
      <c r="I56" s="2" t="inlineStr">
        <is>
          <t>Optic nerve crush</t>
        </is>
      </c>
      <c r="J56" s="17" t="inlineStr">
        <is>
          <t>Optic nerve crush</t>
        </is>
      </c>
      <c r="K56" s="17" t="inlineStr">
        <is>
          <t>Acute injury</t>
        </is>
      </c>
      <c r="L56" s="17" t="inlineStr">
        <is>
          <t>Periocular</t>
        </is>
      </c>
      <c r="M56" s="2" t="inlineStr">
        <is>
          <t>retrobulbar injection, 0.078 / 0.3125 / 1.25 mg/kg (male SD rats; schedule not in excerpt)</t>
        </is>
      </c>
      <c r="N56" s="17" t="n">
        <v>1</v>
      </c>
      <c r="O56" s="17">
        <f>IF(N56="","Not reported",IF(N56&lt;=1,"Single dose",IF(N56&lt;=7,"2–7 days",IF(N56&lt;=28,"8–28 days",IF(N56&lt;=90,"1–3 months","&gt; 3 months")))))</f>
        <v/>
      </c>
      <c r="P56" s="17" t="n"/>
      <c r="Q56" s="17" t="inlineStr">
        <is>
          <t>Protective</t>
        </is>
      </c>
      <c r="R56" s="17" t="inlineStr">
        <is>
          <t>yes</t>
        </is>
      </c>
      <c r="S56" s="17" t="inlineStr">
        <is>
          <t>yes</t>
        </is>
      </c>
      <c r="T56" s="17">
        <f>IF(AND(R56="yes",S56="yes"),"yes","no")</f>
        <v/>
      </c>
    </row>
    <row r="57">
      <c r="A57" s="17" t="n">
        <v>56</v>
      </c>
      <c r="B57" s="17" t="inlineStr">
        <is>
          <t>Tempol</t>
        </is>
      </c>
      <c r="C57" s="17" t="inlineStr">
        <is>
          <t>Tempol</t>
        </is>
      </c>
      <c r="D57" s="17" t="inlineStr">
        <is>
          <t>Antioxidant</t>
        </is>
      </c>
      <c r="E57" s="17">
        <f>INDEX('Drug classes'!$B$2:$B$20,MATCH(D57,'Drug classes'!$A$2:$A$20,0))</f>
        <v/>
      </c>
      <c r="F57" s="17" t="n">
        <v>3</v>
      </c>
      <c r="G57" s="17" t="n">
        <v>135</v>
      </c>
      <c r="H57" s="17" t="inlineStr">
        <is>
          <t>Mouse</t>
        </is>
      </c>
      <c r="I57" s="2" t="inlineStr">
        <is>
          <t>Microbead OHT</t>
        </is>
      </c>
      <c r="J57" s="17" t="inlineStr">
        <is>
          <t>Microbead OHT</t>
        </is>
      </c>
      <c r="K57" s="17" t="inlineStr">
        <is>
          <t>Induced OHT</t>
        </is>
      </c>
      <c r="L57" s="17" t="inlineStr">
        <is>
          <t>Systemic</t>
        </is>
      </c>
      <c r="M57" s="2" t="inlineStr">
        <is>
          <t>osmotic mini-pump</t>
        </is>
      </c>
      <c r="N57" s="17" t="n">
        <v>42</v>
      </c>
      <c r="O57" s="17">
        <f>IF(N57="","Not reported",IF(N57&lt;=1,"Single dose",IF(N57&lt;=7,"2–7 days",IF(N57&lt;=28,"8–28 days",IF(N57&lt;=90,"1–3 months","&gt; 3 months")))))</f>
        <v/>
      </c>
      <c r="P57" s="17" t="n">
        <v>42</v>
      </c>
      <c r="Q57" s="17" t="inlineStr">
        <is>
          <t>Not determined</t>
        </is>
      </c>
      <c r="R57" s="17" t="inlineStr">
        <is>
          <t>yes</t>
        </is>
      </c>
      <c r="S57" s="17" t="inlineStr">
        <is>
          <t>yes</t>
        </is>
      </c>
      <c r="T57" s="17">
        <f>IF(AND(R57="yes",S57="yes"),"yes","no")</f>
        <v/>
      </c>
    </row>
    <row r="58">
      <c r="A58" s="17" t="n">
        <v>57</v>
      </c>
      <c r="B58" s="17" t="inlineStr">
        <is>
          <t>Tempol</t>
        </is>
      </c>
      <c r="C58" s="17" t="inlineStr">
        <is>
          <t>Tempol</t>
        </is>
      </c>
      <c r="D58" s="17" t="inlineStr">
        <is>
          <t>Antioxidant</t>
        </is>
      </c>
      <c r="E58" s="17">
        <f>INDEX('Drug classes'!$B$2:$B$20,MATCH(D58,'Drug classes'!$A$2:$A$20,0))</f>
        <v/>
      </c>
      <c r="F58" s="17" t="n">
        <v>3</v>
      </c>
      <c r="G58" s="17" t="n">
        <v>136</v>
      </c>
      <c r="H58" s="17" t="inlineStr">
        <is>
          <t>Rat</t>
        </is>
      </c>
      <c r="I58" s="2" t="inlineStr">
        <is>
          <t>Partial optic nerve crush</t>
        </is>
      </c>
      <c r="J58" s="17" t="inlineStr">
        <is>
          <t>Optic nerve crush</t>
        </is>
      </c>
      <c r="K58" s="17" t="inlineStr">
        <is>
          <t>Acute injury</t>
        </is>
      </c>
      <c r="L58" s="17" t="inlineStr">
        <is>
          <t>Systemic</t>
        </is>
      </c>
      <c r="M58" s="2" t="inlineStr">
        <is>
          <t>i.p. daily x 7</t>
        </is>
      </c>
      <c r="N58" s="17" t="n">
        <v>7</v>
      </c>
      <c r="O58" s="17">
        <f>IF(N58="","Not reported",IF(N58&lt;=1,"Single dose",IF(N58&lt;=7,"2–7 days",IF(N58&lt;=28,"8–28 days",IF(N58&lt;=90,"1–3 months","&gt; 3 months")))))</f>
        <v/>
      </c>
      <c r="P58" s="17" t="n"/>
      <c r="Q58" s="17" t="inlineStr">
        <is>
          <t>No protection</t>
        </is>
      </c>
      <c r="R58" s="17" t="inlineStr">
        <is>
          <t>yes</t>
        </is>
      </c>
      <c r="S58" s="17" t="inlineStr">
        <is>
          <t>yes</t>
        </is>
      </c>
      <c r="T58" s="17">
        <f>IF(AND(R58="yes",S58="yes"),"yes","no")</f>
        <v/>
      </c>
    </row>
    <row r="59">
      <c r="A59" s="17" t="n">
        <v>58</v>
      </c>
      <c r="B59" s="17" t="inlineStr">
        <is>
          <t>Baicalein</t>
        </is>
      </c>
      <c r="C59" s="17" t="inlineStr">
        <is>
          <t>Baicalein</t>
        </is>
      </c>
      <c r="D59" s="17" t="inlineStr">
        <is>
          <t>Antioxidant</t>
        </is>
      </c>
      <c r="E59" s="17">
        <f>INDEX('Drug classes'!$B$2:$B$20,MATCH(D59,'Drug classes'!$A$2:$A$20,0))</f>
        <v/>
      </c>
      <c r="F59" s="17" t="n">
        <v>3</v>
      </c>
      <c r="G59" s="17" t="n">
        <v>139</v>
      </c>
      <c r="H59" s="17" t="inlineStr">
        <is>
          <t>Mouse</t>
        </is>
      </c>
      <c r="I59" s="2" t="inlineStr">
        <is>
          <t>Retinal ischemia/reperfusion (high IOP)</t>
        </is>
      </c>
      <c r="J59" s="17" t="inlineStr">
        <is>
          <t>Retinal ischemia / acute IOP elevation</t>
        </is>
      </c>
      <c r="K59" s="17" t="inlineStr">
        <is>
          <t>Acute injury</t>
        </is>
      </c>
      <c r="L59" s="17" t="inlineStr">
        <is>
          <t>Intravitreal</t>
        </is>
      </c>
      <c r="M59" s="2" t="inlineStr">
        <is>
          <t>weekly from day 0</t>
        </is>
      </c>
      <c r="N59" s="17" t="n">
        <v>22</v>
      </c>
      <c r="O59" s="17">
        <f>IF(N59="","Not reported",IF(N59&lt;=1,"Single dose",IF(N59&lt;=7,"2–7 days",IF(N59&lt;=28,"8–28 days",IF(N59&lt;=90,"1–3 months","&gt; 3 months")))))</f>
        <v/>
      </c>
      <c r="P59" s="17" t="n">
        <v>28</v>
      </c>
      <c r="Q59" s="17" t="inlineStr">
        <is>
          <t>Protective</t>
        </is>
      </c>
      <c r="R59" s="17" t="inlineStr">
        <is>
          <t>yes</t>
        </is>
      </c>
      <c r="S59" s="17" t="inlineStr">
        <is>
          <t>yes</t>
        </is>
      </c>
      <c r="T59" s="17">
        <f>IF(AND(R59="yes",S59="yes"),"yes","no")</f>
        <v/>
      </c>
    </row>
    <row r="60">
      <c r="A60" s="17" t="n">
        <v>59</v>
      </c>
      <c r="B60" s="17" t="inlineStr">
        <is>
          <t>7,8-Dihydroxyflavone</t>
        </is>
      </c>
      <c r="C60" s="17" t="inlineStr">
        <is>
          <t>7,8-Dihydroxyflavone</t>
        </is>
      </c>
      <c r="D60" s="17" t="inlineStr">
        <is>
          <t>Antioxidant</t>
        </is>
      </c>
      <c r="E60" s="17">
        <f>INDEX('Drug classes'!$B$2:$B$20,MATCH(D60,'Drug classes'!$A$2:$A$20,0))</f>
        <v/>
      </c>
      <c r="F60" s="17" t="n">
        <v>3</v>
      </c>
      <c r="G60" s="17" t="n">
        <v>140</v>
      </c>
      <c r="H60" s="17" t="inlineStr">
        <is>
          <t>Rat</t>
        </is>
      </c>
      <c r="I60" s="2" t="inlineStr">
        <is>
          <t>Optic nerve transection</t>
        </is>
      </c>
      <c r="J60" s="17" t="inlineStr">
        <is>
          <t>Optic nerve axotomy / transection</t>
        </is>
      </c>
      <c r="K60" s="17" t="inlineStr">
        <is>
          <t>Acute injury</t>
        </is>
      </c>
      <c r="L60" s="17" t="inlineStr">
        <is>
          <t>Systemic</t>
        </is>
      </c>
      <c r="M60" s="2" t="inlineStr">
        <is>
          <t>i.p. daily</t>
        </is>
      </c>
      <c r="N60" s="17" t="n">
        <v>22</v>
      </c>
      <c r="O60" s="17">
        <f>IF(N60="","Not reported",IF(N60&lt;=1,"Single dose",IF(N60&lt;=7,"2–7 days",IF(N60&lt;=28,"8–28 days",IF(N60&lt;=90,"1–3 months","&gt; 3 months")))))</f>
        <v/>
      </c>
      <c r="P60" s="17" t="n">
        <v>21</v>
      </c>
      <c r="Q60" s="17" t="inlineStr">
        <is>
          <t>Protective</t>
        </is>
      </c>
      <c r="R60" s="17" t="inlineStr">
        <is>
          <t>yes</t>
        </is>
      </c>
      <c r="S60" s="17" t="inlineStr">
        <is>
          <t>yes</t>
        </is>
      </c>
      <c r="T60" s="17">
        <f>IF(AND(R60="yes",S60="yes"),"yes","no")</f>
        <v/>
      </c>
    </row>
    <row r="61">
      <c r="A61" s="17" t="n">
        <v>60</v>
      </c>
      <c r="B61" s="17" t="inlineStr">
        <is>
          <t>Naringenin</t>
        </is>
      </c>
      <c r="C61" s="17" t="inlineStr">
        <is>
          <t>Naringenin</t>
        </is>
      </c>
      <c r="D61" s="17" t="inlineStr">
        <is>
          <t>Antioxidant</t>
        </is>
      </c>
      <c r="E61" s="17">
        <f>INDEX('Drug classes'!$B$2:$B$20,MATCH(D61,'Drug classes'!$A$2:$A$20,0))</f>
        <v/>
      </c>
      <c r="F61" s="17" t="n">
        <v>3</v>
      </c>
      <c r="G61" s="17" t="n">
        <v>141</v>
      </c>
      <c r="H61" s="17" t="inlineStr">
        <is>
          <t>Mouse</t>
        </is>
      </c>
      <c r="I61" s="2" t="inlineStr">
        <is>
          <t>Optic nerve crush</t>
        </is>
      </c>
      <c r="J61" s="17" t="inlineStr">
        <is>
          <t>Optic nerve crush</t>
        </is>
      </c>
      <c r="K61" s="17" t="inlineStr">
        <is>
          <t>Acute injury</t>
        </is>
      </c>
      <c r="L61" s="17" t="inlineStr">
        <is>
          <t>Intravitreal</t>
        </is>
      </c>
      <c r="M61" s="2" t="inlineStr">
        <is>
          <t>single injection</t>
        </is>
      </c>
      <c r="N61" s="17" t="n">
        <v>1</v>
      </c>
      <c r="O61" s="17">
        <f>IF(N61="","Not reported",IF(N61&lt;=1,"Single dose",IF(N61&lt;=7,"2–7 days",IF(N61&lt;=28,"8–28 days",IF(N61&lt;=90,"1–3 months","&gt; 3 months")))))</f>
        <v/>
      </c>
      <c r="P61" s="17" t="n">
        <v>14</v>
      </c>
      <c r="Q61" s="17" t="inlineStr">
        <is>
          <t>Protective</t>
        </is>
      </c>
      <c r="R61" s="17" t="inlineStr">
        <is>
          <t>yes</t>
        </is>
      </c>
      <c r="S61" s="17" t="inlineStr">
        <is>
          <t>yes</t>
        </is>
      </c>
      <c r="T61" s="17">
        <f>IF(AND(R61="yes",S61="yes"),"yes","no")</f>
        <v/>
      </c>
    </row>
    <row r="62">
      <c r="A62" s="17" t="n">
        <v>61</v>
      </c>
      <c r="B62" s="17" t="inlineStr">
        <is>
          <t>α-Lipoic acid</t>
        </is>
      </c>
      <c r="C62" s="17" t="inlineStr">
        <is>
          <t>α-Lipoic acid</t>
        </is>
      </c>
      <c r="D62" s="17" t="inlineStr">
        <is>
          <t>Antioxidant</t>
        </is>
      </c>
      <c r="E62" s="17">
        <f>INDEX('Drug classes'!$B$2:$B$20,MATCH(D62,'Drug classes'!$A$2:$A$20,0))</f>
        <v/>
      </c>
      <c r="F62" s="17" t="n">
        <v>3</v>
      </c>
      <c r="G62" s="17" t="n">
        <v>142</v>
      </c>
      <c r="H62" s="17" t="inlineStr">
        <is>
          <t>Rat</t>
        </is>
      </c>
      <c r="I62" s="2" t="inlineStr">
        <is>
          <t>Optic nerve crush</t>
        </is>
      </c>
      <c r="J62" s="17" t="inlineStr">
        <is>
          <t>Optic nerve crush</t>
        </is>
      </c>
      <c r="K62" s="17" t="inlineStr">
        <is>
          <t>Acute injury</t>
        </is>
      </c>
      <c r="L62" s="17" t="inlineStr">
        <is>
          <t>Systemic</t>
        </is>
      </c>
      <c r="M62" s="2" t="inlineStr">
        <is>
          <t>single i.v. bolus</t>
        </is>
      </c>
      <c r="N62" s="17" t="n">
        <v>1</v>
      </c>
      <c r="O62" s="17">
        <f>IF(N62="","Not reported",IF(N62&lt;=1,"Single dose",IF(N62&lt;=7,"2–7 days",IF(N62&lt;=28,"8–28 days",IF(N62&lt;=90,"1–3 months","&gt; 3 months")))))</f>
        <v/>
      </c>
      <c r="P62" s="17" t="n">
        <v>10</v>
      </c>
      <c r="Q62" s="17" t="inlineStr">
        <is>
          <t>Partial</t>
        </is>
      </c>
      <c r="R62" s="17" t="inlineStr">
        <is>
          <t>yes</t>
        </is>
      </c>
      <c r="S62" s="17" t="inlineStr">
        <is>
          <t>yes</t>
        </is>
      </c>
      <c r="T62" s="17">
        <f>IF(AND(R62="yes",S62="yes"),"yes","no")</f>
        <v/>
      </c>
    </row>
    <row r="63">
      <c r="A63" s="17" t="n">
        <v>62</v>
      </c>
      <c r="B63" s="17" t="inlineStr">
        <is>
          <t>α-Lipoic acid</t>
        </is>
      </c>
      <c r="C63" s="17" t="inlineStr">
        <is>
          <t>α-Lipoic acid</t>
        </is>
      </c>
      <c r="D63" s="17" t="inlineStr">
        <is>
          <t>Antioxidant</t>
        </is>
      </c>
      <c r="E63" s="17">
        <f>INDEX('Drug classes'!$B$2:$B$20,MATCH(D63,'Drug classes'!$A$2:$A$20,0))</f>
        <v/>
      </c>
      <c r="F63" s="17" t="n">
        <v>3</v>
      </c>
      <c r="G63" s="17" t="n">
        <v>143</v>
      </c>
      <c r="H63" s="17" t="inlineStr">
        <is>
          <t>Mouse</t>
        </is>
      </c>
      <c r="I63" s="2" t="inlineStr">
        <is>
          <t>DBA/2J</t>
        </is>
      </c>
      <c r="J63" s="17" t="inlineStr">
        <is>
          <t>DBA/2J</t>
        </is>
      </c>
      <c r="K63" s="17" t="inlineStr">
        <is>
          <t>Genetic / metabolic</t>
        </is>
      </c>
      <c r="L63" s="17" t="inlineStr">
        <is>
          <t>Systemic</t>
        </is>
      </c>
      <c r="M63" s="2" t="inlineStr">
        <is>
          <t>diet 6-10 months (prevention arm: 11 months)</t>
        </is>
      </c>
      <c r="N63" s="17" t="n">
        <v>122</v>
      </c>
      <c r="O63" s="17">
        <f>IF(N63="","Not reported",IF(N63&lt;=1,"Single dose",IF(N63&lt;=7,"2–7 days",IF(N63&lt;=28,"8–28 days",IF(N63&lt;=90,"1–3 months","&gt; 3 months")))))</f>
        <v/>
      </c>
      <c r="P63" s="17" t="n"/>
      <c r="Q63" s="17" t="inlineStr">
        <is>
          <t>Protective</t>
        </is>
      </c>
      <c r="R63" s="17" t="inlineStr">
        <is>
          <t>yes</t>
        </is>
      </c>
      <c r="S63" s="17" t="inlineStr">
        <is>
          <t>yes</t>
        </is>
      </c>
      <c r="T63" s="17">
        <f>IF(AND(R63="yes",S63="yes"),"yes","no")</f>
        <v/>
      </c>
    </row>
    <row r="64">
      <c r="A64" s="17" t="n">
        <v>63</v>
      </c>
      <c r="B64" s="17" t="inlineStr">
        <is>
          <t>Celastrol</t>
        </is>
      </c>
      <c r="C64" s="17" t="inlineStr">
        <is>
          <t>Celastrol</t>
        </is>
      </c>
      <c r="D64" s="17" t="inlineStr">
        <is>
          <t>Antioxidant</t>
        </is>
      </c>
      <c r="E64" s="17">
        <f>INDEX('Drug classes'!$B$2:$B$20,MATCH(D64,'Drug classes'!$A$2:$A$20,0))</f>
        <v/>
      </c>
      <c r="F64" s="17" t="n">
        <v>3</v>
      </c>
      <c r="G64" s="17" t="n">
        <v>137</v>
      </c>
      <c r="H64" s="17" t="inlineStr">
        <is>
          <t>Rat</t>
        </is>
      </c>
      <c r="I64" s="2" t="inlineStr">
        <is>
          <t>Optic nerve crush</t>
        </is>
      </c>
      <c r="J64" s="17" t="inlineStr">
        <is>
          <t>Optic nerve crush</t>
        </is>
      </c>
      <c r="K64" s="17" t="inlineStr">
        <is>
          <t>Acute injury</t>
        </is>
      </c>
      <c r="L64" s="17" t="inlineStr">
        <is>
          <t>Systemic</t>
        </is>
      </c>
      <c r="M64" s="2" t="inlineStr">
        <is>
          <t>i.p. daily x 14</t>
        </is>
      </c>
      <c r="N64" s="17" t="n">
        <v>14</v>
      </c>
      <c r="O64" s="17">
        <f>IF(N64="","Not reported",IF(N64&lt;=1,"Single dose",IF(N64&lt;=7,"2–7 days",IF(N64&lt;=28,"8–28 days",IF(N64&lt;=90,"1–3 months","&gt; 3 months")))))</f>
        <v/>
      </c>
      <c r="P64" s="17" t="n">
        <v>14</v>
      </c>
      <c r="Q64" s="17" t="inlineStr">
        <is>
          <t>Protective</t>
        </is>
      </c>
      <c r="R64" s="17" t="inlineStr">
        <is>
          <t>yes</t>
        </is>
      </c>
      <c r="S64" s="17" t="inlineStr">
        <is>
          <t>yes</t>
        </is>
      </c>
      <c r="T64" s="17">
        <f>IF(AND(R64="yes",S64="yes"),"yes","no")</f>
        <v/>
      </c>
    </row>
    <row r="65">
      <c r="A65" s="17" t="n">
        <v>64</v>
      </c>
      <c r="B65" s="17" t="inlineStr">
        <is>
          <t>Celastrol</t>
        </is>
      </c>
      <c r="C65" s="17" t="inlineStr">
        <is>
          <t>Celastrol</t>
        </is>
      </c>
      <c r="D65" s="17" t="inlineStr">
        <is>
          <t>Antioxidant</t>
        </is>
      </c>
      <c r="E65" s="17">
        <f>INDEX('Drug classes'!$B$2:$B$20,MATCH(D65,'Drug classes'!$A$2:$A$20,0))</f>
        <v/>
      </c>
      <c r="F65" s="17" t="n">
        <v>3</v>
      </c>
      <c r="G65" s="17" t="n">
        <v>137</v>
      </c>
      <c r="H65" s="17" t="inlineStr">
        <is>
          <t>Rat</t>
        </is>
      </c>
      <c r="I65" s="2" t="inlineStr">
        <is>
          <t>Optic nerve crush</t>
        </is>
      </c>
      <c r="J65" s="17" t="inlineStr">
        <is>
          <t>Optic nerve crush</t>
        </is>
      </c>
      <c r="K65" s="17" t="inlineStr">
        <is>
          <t>Acute injury</t>
        </is>
      </c>
      <c r="L65" s="17" t="inlineStr">
        <is>
          <t>Intravitreal</t>
        </is>
      </c>
      <c r="M65" s="2" t="inlineStr">
        <is>
          <t>single injection</t>
        </is>
      </c>
      <c r="N65" s="17" t="n">
        <v>1</v>
      </c>
      <c r="O65" s="17">
        <f>IF(N65="","Not reported",IF(N65&lt;=1,"Single dose",IF(N65&lt;=7,"2–7 days",IF(N65&lt;=28,"8–28 days",IF(N65&lt;=90,"1–3 months","&gt; 3 months")))))</f>
        <v/>
      </c>
      <c r="P65" s="17" t="n">
        <v>14</v>
      </c>
      <c r="Q65" s="17" t="inlineStr">
        <is>
          <t>Partial</t>
        </is>
      </c>
      <c r="R65" s="17" t="inlineStr">
        <is>
          <t>yes</t>
        </is>
      </c>
      <c r="S65" s="17" t="inlineStr">
        <is>
          <t>yes</t>
        </is>
      </c>
      <c r="T65" s="17">
        <f>IF(AND(R65="yes",S65="yes"),"yes","no")</f>
        <v/>
      </c>
    </row>
    <row r="66">
      <c r="A66" s="17" t="n">
        <v>65</v>
      </c>
      <c r="B66" s="17" t="inlineStr">
        <is>
          <t>Celastrol</t>
        </is>
      </c>
      <c r="C66" s="17" t="inlineStr">
        <is>
          <t>Celastrol</t>
        </is>
      </c>
      <c r="D66" s="17" t="inlineStr">
        <is>
          <t>Antioxidant</t>
        </is>
      </c>
      <c r="E66" s="17">
        <f>INDEX('Drug classes'!$B$2:$B$20,MATCH(D66,'Drug classes'!$A$2:$A$20,0))</f>
        <v/>
      </c>
      <c r="F66" s="17" t="n">
        <v>3</v>
      </c>
      <c r="G66" s="17" t="n">
        <v>138</v>
      </c>
      <c r="H66" s="17" t="inlineStr">
        <is>
          <t>Rat</t>
        </is>
      </c>
      <c r="I66" s="2" t="inlineStr">
        <is>
          <t>Laser-induced OHT</t>
        </is>
      </c>
      <c r="J66" s="17" t="inlineStr">
        <is>
          <t>Laser-induced OHT</t>
        </is>
      </c>
      <c r="K66" s="17" t="inlineStr">
        <is>
          <t>Induced OHT</t>
        </is>
      </c>
      <c r="L66" s="17" t="inlineStr">
        <is>
          <t>Systemic</t>
        </is>
      </c>
      <c r="M66" s="2" t="inlineStr">
        <is>
          <t>i.p. 3x/week x 5 weeks</t>
        </is>
      </c>
      <c r="N66" s="17" t="n">
        <v>35</v>
      </c>
      <c r="O66" s="17">
        <f>IF(N66="","Not reported",IF(N66&lt;=1,"Single dose",IF(N66&lt;=7,"2–7 days",IF(N66&lt;=28,"8–28 days",IF(N66&lt;=90,"1–3 months","&gt; 3 months")))))</f>
        <v/>
      </c>
      <c r="P66" s="17" t="n">
        <v>35</v>
      </c>
      <c r="Q66" s="17" t="inlineStr">
        <is>
          <t>Protective</t>
        </is>
      </c>
      <c r="R66" s="17" t="inlineStr">
        <is>
          <t>yes</t>
        </is>
      </c>
      <c r="S66" s="17" t="inlineStr">
        <is>
          <t>yes</t>
        </is>
      </c>
      <c r="T66" s="17">
        <f>IF(AND(R66="yes",S66="yes"),"yes","no")</f>
        <v/>
      </c>
    </row>
    <row r="67" ht="28" customHeight="1">
      <c r="A67" s="17" t="n">
        <v>66</v>
      </c>
      <c r="B67" s="17" t="inlineStr">
        <is>
          <t>Cyclosporine A</t>
        </is>
      </c>
      <c r="C67" s="17" t="inlineStr">
        <is>
          <t>Cyclosporine A</t>
        </is>
      </c>
      <c r="D67" s="17" t="inlineStr">
        <is>
          <t>Calcineurin</t>
        </is>
      </c>
      <c r="E67" s="17">
        <f>INDEX('Drug classes'!$B$2:$B$20,MATCH(D67,'Drug classes'!$A$2:$A$20,0))</f>
        <v/>
      </c>
      <c r="F67" s="17" t="n">
        <v>3</v>
      </c>
      <c r="G67" s="17" t="n">
        <v>144</v>
      </c>
      <c r="H67" s="17" t="inlineStr">
        <is>
          <t>Mouse</t>
        </is>
      </c>
      <c r="I67" s="2" t="inlineStr">
        <is>
          <t>Retinal ischemia/reperfusion (high IOP)</t>
        </is>
      </c>
      <c r="J67" s="17" t="inlineStr">
        <is>
          <t>Retinal ischemia / acute IOP elevation</t>
        </is>
      </c>
      <c r="K67" s="17" t="inlineStr">
        <is>
          <t>Acute injury</t>
        </is>
      </c>
      <c r="L67" s="17" t="inlineStr">
        <is>
          <t>Systemic</t>
        </is>
      </c>
      <c r="M67" s="2" t="inlineStr">
        <is>
          <t>i.p. 5 mg/kg/day from 24 h before ischemia, daily x 2 weeks</t>
        </is>
      </c>
      <c r="N67" s="17" t="n">
        <v>15</v>
      </c>
      <c r="O67" s="17">
        <f>IF(N67="","Not reported",IF(N67&lt;=1,"Single dose",IF(N67&lt;=7,"2–7 days",IF(N67&lt;=28,"8–28 days",IF(N67&lt;=90,"1–3 months","&gt; 3 months")))))</f>
        <v/>
      </c>
      <c r="P67" s="17" t="n">
        <v>14</v>
      </c>
      <c r="Q67" s="17" t="inlineStr">
        <is>
          <t>Protective</t>
        </is>
      </c>
      <c r="R67" s="17" t="inlineStr">
        <is>
          <t>yes</t>
        </is>
      </c>
      <c r="S67" s="17" t="inlineStr">
        <is>
          <t>yes</t>
        </is>
      </c>
      <c r="T67" s="17">
        <f>IF(AND(R67="yes",S67="yes"),"yes","no")</f>
        <v/>
      </c>
    </row>
    <row r="68">
      <c r="A68" s="17" t="n">
        <v>67</v>
      </c>
      <c r="B68" s="17" t="inlineStr">
        <is>
          <t>Cyclosporine A</t>
        </is>
      </c>
      <c r="C68" s="17" t="inlineStr">
        <is>
          <t>Cyclosporine A</t>
        </is>
      </c>
      <c r="D68" s="17" t="inlineStr">
        <is>
          <t>Calcineurin</t>
        </is>
      </c>
      <c r="E68" s="17">
        <f>INDEX('Drug classes'!$B$2:$B$20,MATCH(D68,'Drug classes'!$A$2:$A$20,0))</f>
        <v/>
      </c>
      <c r="F68" s="17" t="n">
        <v>3</v>
      </c>
      <c r="G68" s="17" t="n">
        <v>146</v>
      </c>
      <c r="H68" s="17" t="inlineStr">
        <is>
          <t>Rat</t>
        </is>
      </c>
      <c r="I68" s="2" t="inlineStr">
        <is>
          <t>Optic nerve transection + PN graft</t>
        </is>
      </c>
      <c r="J68" s="17" t="inlineStr">
        <is>
          <t>Optic nerve axotomy / transection</t>
        </is>
      </c>
      <c r="K68" s="17" t="inlineStr">
        <is>
          <t>Acute injury</t>
        </is>
      </c>
      <c r="L68" s="17" t="inlineStr">
        <is>
          <t>Systemic</t>
        </is>
      </c>
      <c r="M68" s="2" t="inlineStr">
        <is>
          <t>i.p. CsA 20 mg/kg every second day for 3 weeks</t>
        </is>
      </c>
      <c r="N68" s="17" t="n">
        <v>21</v>
      </c>
      <c r="O68" s="17">
        <f>IF(N68="","Not reported",IF(N68&lt;=1,"Single dose",IF(N68&lt;=7,"2–7 days",IF(N68&lt;=28,"8–28 days",IF(N68&lt;=90,"1–3 months","&gt; 3 months")))))</f>
        <v/>
      </c>
      <c r="P68" s="17" t="n">
        <v>21</v>
      </c>
      <c r="Q68" s="17" t="inlineStr">
        <is>
          <t>Partial</t>
        </is>
      </c>
      <c r="R68" s="17" t="inlineStr">
        <is>
          <t>yes</t>
        </is>
      </c>
      <c r="S68" s="17" t="inlineStr">
        <is>
          <t>yes</t>
        </is>
      </c>
      <c r="T68" s="17">
        <f>IF(AND(R68="yes",S68="yes"),"yes","no")</f>
        <v/>
      </c>
    </row>
    <row r="69">
      <c r="A69" s="17" t="n">
        <v>68</v>
      </c>
      <c r="B69" s="17" t="inlineStr">
        <is>
          <t>FK506</t>
        </is>
      </c>
      <c r="C69" s="17" t="inlineStr">
        <is>
          <t>FK506</t>
        </is>
      </c>
      <c r="D69" s="17" t="inlineStr">
        <is>
          <t>Calcineurin</t>
        </is>
      </c>
      <c r="E69" s="17">
        <f>INDEX('Drug classes'!$B$2:$B$20,MATCH(D69,'Drug classes'!$A$2:$A$20,0))</f>
        <v/>
      </c>
      <c r="F69" s="17" t="n">
        <v>3</v>
      </c>
      <c r="G69" s="17" t="n">
        <v>146</v>
      </c>
      <c r="H69" s="17" t="inlineStr">
        <is>
          <t>Rat</t>
        </is>
      </c>
      <c r="I69" s="2" t="inlineStr">
        <is>
          <t>Optic nerve transection + PN graft</t>
        </is>
      </c>
      <c r="J69" s="17" t="inlineStr">
        <is>
          <t>Optic nerve axotomy / transection</t>
        </is>
      </c>
      <c r="K69" s="17" t="inlineStr">
        <is>
          <t>Acute injury</t>
        </is>
      </c>
      <c r="L69" s="17" t="inlineStr">
        <is>
          <t>Systemic</t>
        </is>
      </c>
      <c r="M69" s="2" t="inlineStr">
        <is>
          <t>i.p. FK506 10 mg/kg every second day for 3 weeks</t>
        </is>
      </c>
      <c r="N69" s="17" t="n">
        <v>21</v>
      </c>
      <c r="O69" s="17">
        <f>IF(N69="","Not reported",IF(N69&lt;=1,"Single dose",IF(N69&lt;=7,"2–7 days",IF(N69&lt;=28,"8–28 days",IF(N69&lt;=90,"1–3 months","&gt; 3 months")))))</f>
        <v/>
      </c>
      <c r="P69" s="17" t="n">
        <v>21</v>
      </c>
      <c r="Q69" s="17" t="inlineStr">
        <is>
          <t>Partial</t>
        </is>
      </c>
      <c r="R69" s="17" t="inlineStr">
        <is>
          <t>yes</t>
        </is>
      </c>
      <c r="S69" s="17" t="inlineStr">
        <is>
          <t>yes</t>
        </is>
      </c>
      <c r="T69" s="17">
        <f>IF(AND(R69="yes",S69="yes"),"yes","no")</f>
        <v/>
      </c>
    </row>
    <row r="70">
      <c r="A70" s="17" t="n">
        <v>69</v>
      </c>
      <c r="B70" s="17" t="inlineStr">
        <is>
          <t>Ketorolac</t>
        </is>
      </c>
      <c r="C70" s="17" t="inlineStr">
        <is>
          <t>Ketorolac</t>
        </is>
      </c>
      <c r="D70" s="17" t="inlineStr">
        <is>
          <t>COX</t>
        </is>
      </c>
      <c r="E70" s="17">
        <f>INDEX('Drug classes'!$B$2:$B$20,MATCH(D70,'Drug classes'!$A$2:$A$20,0))</f>
        <v/>
      </c>
      <c r="F70" s="17" t="n">
        <v>3</v>
      </c>
      <c r="G70" s="17" t="n">
        <v>147</v>
      </c>
      <c r="H70" s="17" t="inlineStr">
        <is>
          <t>Rat</t>
        </is>
      </c>
      <c r="I70" s="2" t="inlineStr">
        <is>
          <t>Optic nerve crush</t>
        </is>
      </c>
      <c r="J70" s="17" t="inlineStr">
        <is>
          <t>Optic nerve crush</t>
        </is>
      </c>
      <c r="K70" s="17" t="inlineStr">
        <is>
          <t>Acute injury</t>
        </is>
      </c>
      <c r="L70" s="17" t="inlineStr">
        <is>
          <t>Intravitreal</t>
        </is>
      </c>
      <c r="M70" s="2" t="inlineStr">
        <is>
          <t>single injection</t>
        </is>
      </c>
      <c r="N70" s="17" t="n">
        <v>1</v>
      </c>
      <c r="O70" s="17">
        <f>IF(N70="","Not reported",IF(N70&lt;=1,"Single dose",IF(N70&lt;=7,"2–7 days",IF(N70&lt;=28,"8–28 days",IF(N70&lt;=90,"1–3 months","&gt; 3 months")))))</f>
        <v/>
      </c>
      <c r="P70" s="17" t="n">
        <v>7</v>
      </c>
      <c r="Q70" s="17" t="inlineStr">
        <is>
          <t>Protective</t>
        </is>
      </c>
      <c r="R70" s="17" t="inlineStr">
        <is>
          <t>yes</t>
        </is>
      </c>
      <c r="S70" s="17" t="inlineStr">
        <is>
          <t>yes</t>
        </is>
      </c>
      <c r="T70" s="17">
        <f>IF(AND(R70="yes",S70="yes"),"yes","no")</f>
        <v/>
      </c>
    </row>
    <row r="71" ht="28" customHeight="1">
      <c r="A71" s="17" t="n">
        <v>70</v>
      </c>
      <c r="B71" s="17" t="inlineStr">
        <is>
          <t>ZM241385</t>
        </is>
      </c>
      <c r="C71" s="17" t="inlineStr">
        <is>
          <t>ZM241385</t>
        </is>
      </c>
      <c r="D71" s="17" t="inlineStr">
        <is>
          <t>A2A receptor</t>
        </is>
      </c>
      <c r="E71" s="17">
        <f>INDEX('Drug classes'!$B$2:$B$20,MATCH(D71,'Drug classes'!$A$2:$A$20,0))</f>
        <v/>
      </c>
      <c r="F71" s="17" t="n">
        <v>3</v>
      </c>
      <c r="G71" s="17" t="n">
        <v>149</v>
      </c>
      <c r="H71" s="17" t="inlineStr">
        <is>
          <t>Rat</t>
        </is>
      </c>
      <c r="I71" s="2" t="inlineStr">
        <is>
          <t>Episcleral vein ligation OHT</t>
        </is>
      </c>
      <c r="J71" s="17" t="inlineStr">
        <is>
          <t>Episcleral vein OHT</t>
        </is>
      </c>
      <c r="K71" s="17" t="inlineStr">
        <is>
          <t>Induced OHT</t>
        </is>
      </c>
      <c r="L71" s="17" t="inlineStr">
        <is>
          <t>Intravitreal</t>
        </is>
      </c>
      <c r="M71" s="2" t="inlineStr">
        <is>
          <t>intravitreal 1 uL 50 uM, 1 h after OHT surgery and again 1 week later</t>
        </is>
      </c>
      <c r="N71" s="17" t="n">
        <v>8</v>
      </c>
      <c r="O71" s="17">
        <f>IF(N71="","Not reported",IF(N71&lt;=1,"Single dose",IF(N71&lt;=7,"2–7 days",IF(N71&lt;=28,"8–28 days",IF(N71&lt;=90,"1–3 months","&gt; 3 months")))))</f>
        <v/>
      </c>
      <c r="P71" s="17" t="n">
        <v>14</v>
      </c>
      <c r="Q71" s="17" t="inlineStr">
        <is>
          <t>Protective</t>
        </is>
      </c>
      <c r="R71" s="17" t="inlineStr">
        <is>
          <t>yes</t>
        </is>
      </c>
      <c r="S71" s="17" t="inlineStr">
        <is>
          <t>yes</t>
        </is>
      </c>
      <c r="T71" s="17">
        <f>IF(AND(R71="yes",S71="yes"),"yes","no")</f>
        <v/>
      </c>
    </row>
    <row r="72">
      <c r="A72" s="17" t="n">
        <v>71</v>
      </c>
      <c r="B72" s="17" t="inlineStr">
        <is>
          <t>Azithromycin</t>
        </is>
      </c>
      <c r="C72" s="17" t="inlineStr">
        <is>
          <t>Azithromycin</t>
        </is>
      </c>
      <c r="D72" s="17" t="inlineStr">
        <is>
          <t>Antibiotic</t>
        </is>
      </c>
      <c r="E72" s="17">
        <f>INDEX('Drug classes'!$B$2:$B$20,MATCH(D72,'Drug classes'!$A$2:$A$20,0))</f>
        <v/>
      </c>
      <c r="F72" s="17" t="n">
        <v>3</v>
      </c>
      <c r="G72" s="17" t="n">
        <v>152</v>
      </c>
      <c r="H72" s="17" t="inlineStr">
        <is>
          <t>Rat</t>
        </is>
      </c>
      <c r="I72" s="2" t="inlineStr">
        <is>
          <t>Retinal ischemia/reperfusion (high IOP)</t>
        </is>
      </c>
      <c r="J72" s="17" t="inlineStr">
        <is>
          <t>Retinal ischemia / acute IOP elevation</t>
        </is>
      </c>
      <c r="K72" s="17" t="inlineStr">
        <is>
          <t>Acute injury</t>
        </is>
      </c>
      <c r="L72" s="17" t="inlineStr">
        <is>
          <t>Systemic</t>
        </is>
      </c>
      <c r="M72" s="2" t="inlineStr">
        <is>
          <t>single i.p.</t>
        </is>
      </c>
      <c r="N72" s="17" t="n">
        <v>1</v>
      </c>
      <c r="O72" s="17">
        <f>IF(N72="","Not reported",IF(N72&lt;=1,"Single dose",IF(N72&lt;=7,"2–7 days",IF(N72&lt;=28,"8–28 days",IF(N72&lt;=90,"1–3 months","&gt; 3 months")))))</f>
        <v/>
      </c>
      <c r="P72" s="17" t="n">
        <v>7</v>
      </c>
      <c r="Q72" s="17" t="inlineStr">
        <is>
          <t>Protective</t>
        </is>
      </c>
      <c r="R72" s="17" t="inlineStr">
        <is>
          <t>yes</t>
        </is>
      </c>
      <c r="S72" s="17" t="inlineStr">
        <is>
          <t>yes</t>
        </is>
      </c>
      <c r="T72" s="17">
        <f>IF(AND(R72="yes",S72="yes"),"yes","no")</f>
        <v/>
      </c>
    </row>
    <row r="73">
      <c r="A73" s="17" t="n">
        <v>72</v>
      </c>
      <c r="B73" s="17" t="inlineStr">
        <is>
          <t>Azithromycin</t>
        </is>
      </c>
      <c r="C73" s="17" t="inlineStr">
        <is>
          <t>Azithromycin</t>
        </is>
      </c>
      <c r="D73" s="17" t="inlineStr">
        <is>
          <t>Antibiotic</t>
        </is>
      </c>
      <c r="E73" s="17">
        <f>INDEX('Drug classes'!$B$2:$B$20,MATCH(D73,'Drug classes'!$A$2:$A$20,0))</f>
        <v/>
      </c>
      <c r="F73" s="17" t="n">
        <v>3</v>
      </c>
      <c r="G73" s="17" t="n">
        <v>153</v>
      </c>
      <c r="H73" s="17" t="inlineStr">
        <is>
          <t>Mouse</t>
        </is>
      </c>
      <c r="I73" s="2" t="inlineStr">
        <is>
          <t>Microbead OHT</t>
        </is>
      </c>
      <c r="J73" s="17" t="inlineStr">
        <is>
          <t>Microbead OHT</t>
        </is>
      </c>
      <c r="K73" s="17" t="inlineStr">
        <is>
          <t>Induced OHT</t>
        </is>
      </c>
      <c r="L73" s="17" t="inlineStr">
        <is>
          <t>Systemic</t>
        </is>
      </c>
      <c r="M73" s="2" t="inlineStr">
        <is>
          <t>single i.p. injection 1 mg after microbead injection</t>
        </is>
      </c>
      <c r="N73" s="17" t="n">
        <v>1</v>
      </c>
      <c r="O73" s="17">
        <f>IF(N73="","Not reported",IF(N73&lt;=1,"Single dose",IF(N73&lt;=7,"2–7 days",IF(N73&lt;=28,"8–28 days",IF(N73&lt;=90,"1–3 months","&gt; 3 months")))))</f>
        <v/>
      </c>
      <c r="P73" s="17" t="n">
        <v>21</v>
      </c>
      <c r="Q73" s="17" t="inlineStr">
        <is>
          <t>Partial</t>
        </is>
      </c>
      <c r="R73" s="17" t="inlineStr">
        <is>
          <t>yes</t>
        </is>
      </c>
      <c r="S73" s="17" t="inlineStr">
        <is>
          <t>yes</t>
        </is>
      </c>
      <c r="T73" s="17">
        <f>IF(AND(R73="yes",S73="yes"),"yes","no")</f>
        <v/>
      </c>
    </row>
    <row r="74">
      <c r="A74" s="17" t="n">
        <v>73</v>
      </c>
      <c r="B74" s="17" t="inlineStr">
        <is>
          <t>Azithromycin</t>
        </is>
      </c>
      <c r="C74" s="17" t="inlineStr">
        <is>
          <t>Azithromycin</t>
        </is>
      </c>
      <c r="D74" s="17" t="inlineStr">
        <is>
          <t>Antibiotic</t>
        </is>
      </c>
      <c r="E74" s="17">
        <f>INDEX('Drug classes'!$B$2:$B$20,MATCH(D74,'Drug classes'!$A$2:$A$20,0))</f>
        <v/>
      </c>
      <c r="F74" s="17" t="n">
        <v>3</v>
      </c>
      <c r="G74" s="17" t="n">
        <v>154</v>
      </c>
      <c r="H74" s="17" t="inlineStr">
        <is>
          <t>Mouse</t>
        </is>
      </c>
      <c r="I74" s="2" t="inlineStr">
        <is>
          <t>Optic nerve crush</t>
        </is>
      </c>
      <c r="J74" s="17" t="inlineStr">
        <is>
          <t>Optic nerve crush</t>
        </is>
      </c>
      <c r="K74" s="17" t="inlineStr">
        <is>
          <t>Acute injury</t>
        </is>
      </c>
      <c r="L74" s="17" t="inlineStr">
        <is>
          <t>Systemic</t>
        </is>
      </c>
      <c r="M74" s="2" t="inlineStr">
        <is>
          <t>single i.p.</t>
        </is>
      </c>
      <c r="N74" s="17" t="n">
        <v>1</v>
      </c>
      <c r="O74" s="17">
        <f>IF(N74="","Not reported",IF(N74&lt;=1,"Single dose",IF(N74&lt;=7,"2–7 days",IF(N74&lt;=28,"8–28 days",IF(N74&lt;=90,"1–3 months","&gt; 3 months")))))</f>
        <v/>
      </c>
      <c r="P74" s="17" t="n">
        <v>21</v>
      </c>
      <c r="Q74" s="17" t="inlineStr">
        <is>
          <t>Protective</t>
        </is>
      </c>
      <c r="R74" s="17" t="inlineStr">
        <is>
          <t>yes</t>
        </is>
      </c>
      <c r="S74" s="17" t="inlineStr">
        <is>
          <t>yes</t>
        </is>
      </c>
      <c r="T74" s="17">
        <f>IF(AND(R74="yes",S74="yes"),"yes","no")</f>
        <v/>
      </c>
    </row>
    <row r="75">
      <c r="A75" s="17" t="n">
        <v>74</v>
      </c>
      <c r="B75" s="17" t="inlineStr">
        <is>
          <t>S3I-201</t>
        </is>
      </c>
      <c r="C75" s="17" t="inlineStr">
        <is>
          <t>S3I-201</t>
        </is>
      </c>
      <c r="D75" s="17" t="inlineStr">
        <is>
          <t>JAK/STAT3</t>
        </is>
      </c>
      <c r="E75" s="17">
        <f>INDEX('Drug classes'!$B$2:$B$20,MATCH(D75,'Drug classes'!$A$2:$A$20,0))</f>
        <v/>
      </c>
      <c r="F75" s="17" t="n">
        <v>2</v>
      </c>
      <c r="G75" s="17" t="n">
        <v>112</v>
      </c>
      <c r="H75" s="17" t="inlineStr">
        <is>
          <t>Rat</t>
        </is>
      </c>
      <c r="I75" s="2" t="inlineStr">
        <is>
          <t>Acute ocular hypertension (75 mmHg 1 h)</t>
        </is>
      </c>
      <c r="J75" s="17" t="inlineStr">
        <is>
          <t>Retinal ischemia / acute IOP elevation</t>
        </is>
      </c>
      <c r="K75" s="17" t="inlineStr">
        <is>
          <t>Acute injury</t>
        </is>
      </c>
      <c r="L75" s="17" t="inlineStr">
        <is>
          <t>Systemic</t>
        </is>
      </c>
      <c r="M75" s="2" t="inlineStr">
        <is>
          <t>i.p. 2 mg/kg before injury and day 2</t>
        </is>
      </c>
      <c r="N75" s="17" t="n">
        <v>3</v>
      </c>
      <c r="O75" s="17">
        <f>IF(N75="","Not reported",IF(N75&lt;=1,"Single dose",IF(N75&lt;=7,"2–7 days",IF(N75&lt;=28,"8–28 days",IF(N75&lt;=90,"1–3 months","&gt; 3 months")))))</f>
        <v/>
      </c>
      <c r="P75" s="17" t="n">
        <v>3</v>
      </c>
      <c r="Q75" s="17" t="inlineStr">
        <is>
          <t>Protective</t>
        </is>
      </c>
      <c r="R75" s="17" t="inlineStr">
        <is>
          <t>yes</t>
        </is>
      </c>
      <c r="S75" s="17" t="inlineStr">
        <is>
          <t>yes</t>
        </is>
      </c>
      <c r="T75" s="17">
        <f>IF(AND(R75="yes",S75="yes"),"yes","no")</f>
        <v/>
      </c>
    </row>
    <row r="76">
      <c r="A76" s="17" t="n">
        <v>75</v>
      </c>
      <c r="B76" s="17" t="inlineStr">
        <is>
          <t>Stattic</t>
        </is>
      </c>
      <c r="C76" s="17" t="inlineStr">
        <is>
          <t>Stattic</t>
        </is>
      </c>
      <c r="D76" s="17" t="inlineStr">
        <is>
          <t>JAK/STAT3</t>
        </is>
      </c>
      <c r="E76" s="17">
        <f>INDEX('Drug classes'!$B$2:$B$20,MATCH(D76,'Drug classes'!$A$2:$A$20,0))</f>
        <v/>
      </c>
      <c r="F76" s="17" t="n">
        <v>2</v>
      </c>
      <c r="G76" s="17" t="n">
        <v>113</v>
      </c>
      <c r="H76" s="17" t="inlineStr">
        <is>
          <t>Rat</t>
        </is>
      </c>
      <c r="I76" s="2" t="inlineStr">
        <is>
          <t>Hypertonic saline limbal vein OHT</t>
        </is>
      </c>
      <c r="J76" s="17" t="inlineStr">
        <is>
          <t>Hypertonic saline OHT</t>
        </is>
      </c>
      <c r="K76" s="17" t="inlineStr">
        <is>
          <t>Induced OHT</t>
        </is>
      </c>
      <c r="L76" s="17" t="inlineStr">
        <is>
          <t>Systemic</t>
        </is>
      </c>
      <c r="M76" s="2" t="inlineStr">
        <is>
          <t>i.p. 5 mg/kg daily x 7 days</t>
        </is>
      </c>
      <c r="N76" s="17" t="n">
        <v>7</v>
      </c>
      <c r="O76" s="17">
        <f>IF(N76="","Not reported",IF(N76&lt;=1,"Single dose",IF(N76&lt;=7,"2–7 days",IF(N76&lt;=28,"8–28 days",IF(N76&lt;=90,"1–3 months","&gt; 3 months")))))</f>
        <v/>
      </c>
      <c r="P76" s="17" t="n">
        <v>7</v>
      </c>
      <c r="Q76" s="17" t="inlineStr">
        <is>
          <t>No RGC readout</t>
        </is>
      </c>
      <c r="R76" s="17" t="inlineStr">
        <is>
          <t>yes</t>
        </is>
      </c>
      <c r="S76" s="17" t="inlineStr">
        <is>
          <t>yes</t>
        </is>
      </c>
      <c r="T76" s="17">
        <f>IF(AND(R76="yes",S76="yes"),"yes","no")</f>
        <v/>
      </c>
    </row>
    <row r="77" ht="28" customHeight="1">
      <c r="A77" s="17" t="n">
        <v>76</v>
      </c>
      <c r="B77" s="17" t="inlineStr">
        <is>
          <t>SCH 58261</t>
        </is>
      </c>
      <c r="C77" s="17" t="inlineStr">
        <is>
          <t>SCH 58261</t>
        </is>
      </c>
      <c r="D77" s="17" t="inlineStr">
        <is>
          <t>A2A receptor</t>
        </is>
      </c>
      <c r="E77" s="17">
        <f>INDEX('Drug classes'!$B$2:$B$20,MATCH(D77,'Drug classes'!$A$2:$A$20,0))</f>
        <v/>
      </c>
      <c r="F77" s="17" t="n">
        <v>3</v>
      </c>
      <c r="G77" s="17" t="n">
        <v>150</v>
      </c>
      <c r="H77" s="17" t="inlineStr">
        <is>
          <t>Rat</t>
        </is>
      </c>
      <c r="I77" s="2" t="inlineStr">
        <is>
          <t>Retinal ischemia/reperfusion (high IOP)</t>
        </is>
      </c>
      <c r="J77" s="17" t="inlineStr">
        <is>
          <t>Retinal ischemia / acute IOP elevation</t>
        </is>
      </c>
      <c r="K77" s="17" t="inlineStr">
        <is>
          <t>Acute injury</t>
        </is>
      </c>
      <c r="L77" s="17" t="inlineStr">
        <is>
          <t>Intravitreal</t>
        </is>
      </c>
      <c r="M77" s="2" t="inlineStr">
        <is>
          <t>single intravitreal injection 5 uL 100 nM, 2 h before ischemia</t>
        </is>
      </c>
      <c r="N77" s="17" t="n">
        <v>1</v>
      </c>
      <c r="O77" s="17">
        <f>IF(N77="","Not reported",IF(N77&lt;=1,"Single dose",IF(N77&lt;=7,"2–7 days",IF(N77&lt;=28,"8–28 days",IF(N77&lt;=90,"1–3 months","&gt; 3 months")))))</f>
        <v/>
      </c>
      <c r="P77" s="17" t="n"/>
      <c r="Q77" s="17" t="inlineStr">
        <is>
          <t>Protective</t>
        </is>
      </c>
      <c r="R77" s="17" t="inlineStr">
        <is>
          <t>yes</t>
        </is>
      </c>
      <c r="S77" s="17" t="inlineStr">
        <is>
          <t>yes</t>
        </is>
      </c>
      <c r="T77" s="17">
        <f>IF(AND(R77="yes",S77="yes"),"yes","no")</f>
        <v/>
      </c>
    </row>
    <row r="78" ht="28" customHeight="1">
      <c r="A78" s="17" t="n">
        <v>77</v>
      </c>
      <c r="B78" s="17" t="inlineStr">
        <is>
          <t>Caffeine</t>
        </is>
      </c>
      <c r="C78" s="17" t="inlineStr">
        <is>
          <t>Caffeine</t>
        </is>
      </c>
      <c r="D78" s="17" t="inlineStr">
        <is>
          <t>A2A receptor</t>
        </is>
      </c>
      <c r="E78" s="17">
        <f>INDEX('Drug classes'!$B$2:$B$20,MATCH(D78,'Drug classes'!$A$2:$A$20,0))</f>
        <v/>
      </c>
      <c r="F78" s="17" t="n">
        <v>3</v>
      </c>
      <c r="G78" s="17" t="n">
        <v>151</v>
      </c>
      <c r="H78" s="17" t="inlineStr">
        <is>
          <t>Rat</t>
        </is>
      </c>
      <c r="I78" s="2" t="inlineStr">
        <is>
          <t>Retinal ischemia/reperfusion (high IOP)</t>
        </is>
      </c>
      <c r="J78" s="17" t="inlineStr">
        <is>
          <t>Retinal ischemia / acute IOP elevation</t>
        </is>
      </c>
      <c r="K78" s="17" t="inlineStr">
        <is>
          <t>Acute injury</t>
        </is>
      </c>
      <c r="L78" s="17" t="inlineStr">
        <is>
          <t>Systemic</t>
        </is>
      </c>
      <c r="M78" s="2" t="inlineStr">
        <is>
          <t>drinking water 1 g/L from 2 weeks before ischemia to endpoint</t>
        </is>
      </c>
      <c r="N78" s="17" t="n">
        <v>21</v>
      </c>
      <c r="O78" s="17">
        <f>IF(N78="","Not reported",IF(N78&lt;=1,"Single dose",IF(N78&lt;=7,"2–7 days",IF(N78&lt;=28,"8–28 days",IF(N78&lt;=90,"1–3 months","&gt; 3 months")))))</f>
        <v/>
      </c>
      <c r="P78" s="17" t="n">
        <v>7</v>
      </c>
      <c r="Q78" s="17" t="inlineStr">
        <is>
          <t>No RGC readout</t>
        </is>
      </c>
      <c r="R78" s="17" t="inlineStr">
        <is>
          <t>yes</t>
        </is>
      </c>
      <c r="S78" s="17" t="inlineStr">
        <is>
          <t>yes</t>
        </is>
      </c>
      <c r="T78" s="17">
        <f>IF(AND(R78="yes",S78="yes"),"yes","no")</f>
        <v/>
      </c>
    </row>
    <row r="79">
      <c r="A79" s="17" t="n">
        <v>78</v>
      </c>
      <c r="B79" s="17" t="inlineStr">
        <is>
          <t>SP600125</t>
        </is>
      </c>
      <c r="C79" s="17" t="inlineStr">
        <is>
          <t>SP600125</t>
        </is>
      </c>
      <c r="D79" s="17" t="inlineStr">
        <is>
          <t>JNK</t>
        </is>
      </c>
      <c r="E79" s="17">
        <f>INDEX('Drug classes'!$B$2:$B$20,MATCH(D79,'Drug classes'!$A$2:$A$20,0))</f>
        <v/>
      </c>
      <c r="F79" s="17" t="n">
        <v>2</v>
      </c>
      <c r="G79" s="17" t="n">
        <v>111</v>
      </c>
      <c r="H79" s="17" t="inlineStr">
        <is>
          <t>Mouse</t>
        </is>
      </c>
      <c r="I79" s="2" t="inlineStr">
        <is>
          <t>Retinal ischemia/reperfusion (high IOP)</t>
        </is>
      </c>
      <c r="J79" s="17" t="inlineStr">
        <is>
          <t>Retinal ischemia / acute IOP elevation</t>
        </is>
      </c>
      <c r="K79" s="17" t="inlineStr">
        <is>
          <t>Acute injury</t>
        </is>
      </c>
      <c r="L79" s="17" t="inlineStr">
        <is>
          <t>Systemic</t>
        </is>
      </c>
      <c r="M79" s="2" t="inlineStr">
        <is>
          <t>i.p. daily x 28 days from 2 h before injury</t>
        </is>
      </c>
      <c r="N79" s="17" t="n">
        <v>28</v>
      </c>
      <c r="O79" s="17">
        <f>IF(N79="","Not reported",IF(N79&lt;=1,"Single dose",IF(N79&lt;=7,"2–7 days",IF(N79&lt;=28,"8–28 days",IF(N79&lt;=90,"1–3 months","&gt; 3 months")))))</f>
        <v/>
      </c>
      <c r="P79" s="17" t="n">
        <v>28</v>
      </c>
      <c r="Q79" s="17" t="inlineStr">
        <is>
          <t>Protective</t>
        </is>
      </c>
      <c r="R79" s="17" t="inlineStr">
        <is>
          <t>yes</t>
        </is>
      </c>
      <c r="S79" s="17" t="inlineStr">
        <is>
          <t>yes</t>
        </is>
      </c>
      <c r="T79" s="17">
        <f>IF(AND(R79="yes",S79="yes"),"yes","no")</f>
        <v/>
      </c>
    </row>
  </sheetData>
  <autoFilter ref="A1:T83"/>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0"/>
  <sheetViews>
    <sheetView zoomScaleNormal="100" workbookViewId="0">
      <pane ySplit="1" topLeftCell="A8" activePane="bottomLeft" state="frozen"/>
      <selection pane="bottomLeft" activeCell="C11" sqref="C11"/>
    </sheetView>
  </sheetViews>
  <sheetFormatPr baseColWidth="8" defaultColWidth="8.6328125" defaultRowHeight="14.5"/>
  <cols>
    <col width="20" customWidth="1" min="1" max="1"/>
    <col width="28" customWidth="1" min="2" max="2"/>
    <col width="16" customWidth="1" min="3" max="3"/>
    <col width="24" customWidth="1" min="4" max="4"/>
  </cols>
  <sheetData>
    <row r="1" ht="28" customHeight="1">
      <c r="A1" s="6" t="inlineStr">
        <is>
          <t>Drug class</t>
        </is>
      </c>
      <c r="B1" s="6" t="inlineStr">
        <is>
          <t>Pathway (Figure 2 branch)</t>
        </is>
      </c>
      <c r="C1" s="6" t="inlineStr">
        <is>
          <t>Manuscript table</t>
        </is>
      </c>
      <c r="D1" s="6" t="inlineStr">
        <is>
          <t>Table group</t>
        </is>
      </c>
    </row>
    <row r="2">
      <c r="A2" s="7" t="inlineStr">
        <is>
          <t>TNF-α</t>
        </is>
      </c>
      <c r="B2" s="7" t="inlineStr">
        <is>
          <t>TNF / RIPK / MAPK</t>
        </is>
      </c>
      <c r="C2" s="7" t="n">
        <v>1</v>
      </c>
      <c r="D2" s="7" t="inlineStr">
        <is>
          <t>Cytokine antagonists</t>
        </is>
      </c>
    </row>
    <row r="3">
      <c r="A3" s="7" t="inlineStr">
        <is>
          <t>IL-1β</t>
        </is>
      </c>
      <c r="B3" s="7" t="inlineStr">
        <is>
          <t>TLR4 / IL-1R / NF-κB</t>
        </is>
      </c>
      <c r="C3" s="7" t="n">
        <v>1</v>
      </c>
      <c r="D3" s="7" t="inlineStr">
        <is>
          <t>Cytokine antagonists</t>
        </is>
      </c>
    </row>
    <row r="4">
      <c r="A4" s="7" t="inlineStr">
        <is>
          <t>IL-6</t>
        </is>
      </c>
      <c r="B4" s="7" t="inlineStr">
        <is>
          <t>IL-6 / JAK-STAT3</t>
        </is>
      </c>
      <c r="C4" s="7" t="n">
        <v>1</v>
      </c>
      <c r="D4" s="7" t="inlineStr">
        <is>
          <t>Cytokine antagonists</t>
        </is>
      </c>
    </row>
    <row r="5">
      <c r="A5" s="7" t="inlineStr">
        <is>
          <t>RIPK1/3</t>
        </is>
      </c>
      <c r="B5" s="7" t="inlineStr">
        <is>
          <t>TNF / RIPK / MAPK</t>
        </is>
      </c>
      <c r="C5" s="7" t="n">
        <v>2</v>
      </c>
      <c r="D5" s="7" t="inlineStr">
        <is>
          <t>Pathway inhibitors</t>
        </is>
      </c>
    </row>
    <row r="6">
      <c r="A6" s="7" t="inlineStr">
        <is>
          <t>p38 MAPK</t>
        </is>
      </c>
      <c r="B6" s="7" t="inlineStr">
        <is>
          <t>TNF / RIPK / MAPK</t>
        </is>
      </c>
      <c r="C6" s="7" t="n">
        <v>2</v>
      </c>
      <c r="D6" s="7" t="inlineStr">
        <is>
          <t>Pathway inhibitors</t>
        </is>
      </c>
    </row>
    <row r="7">
      <c r="A7" s="7" t="inlineStr">
        <is>
          <t>JNK</t>
        </is>
      </c>
      <c r="B7" s="7" t="inlineStr">
        <is>
          <t>TNF / RIPK / MAPK</t>
        </is>
      </c>
      <c r="C7" s="7" t="n">
        <v>2</v>
      </c>
      <c r="D7" s="7" t="inlineStr">
        <is>
          <t>Pathway inhibitors</t>
        </is>
      </c>
    </row>
    <row r="8">
      <c r="A8" s="7" t="inlineStr">
        <is>
          <t>TLR4</t>
        </is>
      </c>
      <c r="B8" s="7" t="inlineStr">
        <is>
          <t>TLR4 / IL-1R / NF-κB</t>
        </is>
      </c>
      <c r="C8" s="7" t="n">
        <v>2</v>
      </c>
      <c r="D8" s="7" t="inlineStr">
        <is>
          <t>Pathway inhibitors</t>
        </is>
      </c>
    </row>
    <row r="9">
      <c r="A9" s="7" t="inlineStr">
        <is>
          <t>NF-κB</t>
        </is>
      </c>
      <c r="B9" s="7" t="inlineStr">
        <is>
          <t>TLR4 / IL-1R / NF-κB</t>
        </is>
      </c>
      <c r="C9" s="7" t="n">
        <v>2</v>
      </c>
      <c r="D9" s="7" t="inlineStr">
        <is>
          <t>Pathway inhibitors</t>
        </is>
      </c>
    </row>
    <row r="10">
      <c r="A10" s="7" t="inlineStr">
        <is>
          <t>P2X7</t>
        </is>
      </c>
      <c r="B10" s="7" t="inlineStr">
        <is>
          <t>P2X7 / NLRP3</t>
        </is>
      </c>
      <c r="C10" s="7" t="n">
        <v>2</v>
      </c>
      <c r="D10" s="7" t="inlineStr">
        <is>
          <t>Pathway inhibitors</t>
        </is>
      </c>
    </row>
    <row r="11">
      <c r="A11" s="7" t="inlineStr">
        <is>
          <t>NLRP3 / ASC</t>
        </is>
      </c>
      <c r="B11" s="7" t="inlineStr">
        <is>
          <t>P2X7 / NLRP3</t>
        </is>
      </c>
      <c r="C11" s="7" t="n">
        <v>2</v>
      </c>
      <c r="D11" s="7" t="inlineStr">
        <is>
          <t>Pathway inhibitors</t>
        </is>
      </c>
    </row>
    <row r="12">
      <c r="A12" s="7" t="inlineStr">
        <is>
          <t>JAK/STAT3</t>
        </is>
      </c>
      <c r="B12" s="7" t="inlineStr">
        <is>
          <t>IL-6 / JAK-STAT3</t>
        </is>
      </c>
      <c r="C12" s="7" t="n">
        <v>2</v>
      </c>
      <c r="D12" s="7" t="inlineStr">
        <is>
          <t>Pathway inhibitors</t>
        </is>
      </c>
    </row>
    <row r="13">
      <c r="A13" s="7" t="inlineStr">
        <is>
          <t>Glial inhibition</t>
        </is>
      </c>
      <c r="B13" s="7" t="inlineStr">
        <is>
          <t>Broad anti-inflammatory</t>
        </is>
      </c>
      <c r="C13" s="7" t="n">
        <v>3</v>
      </c>
      <c r="D13" s="7" t="inlineStr">
        <is>
          <t>Broad agents</t>
        </is>
      </c>
    </row>
    <row r="14">
      <c r="A14" s="7" t="inlineStr">
        <is>
          <t>Rho kinase</t>
        </is>
      </c>
      <c r="B14" s="7" t="inlineStr">
        <is>
          <t>Broad anti-inflammatory</t>
        </is>
      </c>
      <c r="C14" s="7" t="n">
        <v>3</v>
      </c>
      <c r="D14" s="7" t="inlineStr">
        <is>
          <t>Broad agents</t>
        </is>
      </c>
    </row>
    <row r="15">
      <c r="A15" s="7" t="inlineStr">
        <is>
          <t>PDE</t>
        </is>
      </c>
      <c r="B15" s="7" t="inlineStr">
        <is>
          <t>Broad anti-inflammatory</t>
        </is>
      </c>
      <c r="C15" s="7" t="n">
        <v>3</v>
      </c>
      <c r="D15" s="7" t="inlineStr">
        <is>
          <t>Broad agents</t>
        </is>
      </c>
    </row>
    <row r="16">
      <c r="A16" s="7" t="inlineStr">
        <is>
          <t>Antioxidant</t>
        </is>
      </c>
      <c r="B16" s="7" t="inlineStr">
        <is>
          <t>Broad anti-inflammatory</t>
        </is>
      </c>
      <c r="C16" s="7" t="n">
        <v>3</v>
      </c>
      <c r="D16" s="7" t="inlineStr">
        <is>
          <t>Broad agents</t>
        </is>
      </c>
    </row>
    <row r="17">
      <c r="A17" s="7" t="inlineStr">
        <is>
          <t>Calcineurin</t>
        </is>
      </c>
      <c r="B17" s="7" t="inlineStr">
        <is>
          <t>Broad anti-inflammatory</t>
        </is>
      </c>
      <c r="C17" s="7" t="n">
        <v>3</v>
      </c>
      <c r="D17" s="7" t="inlineStr">
        <is>
          <t>Broad agents</t>
        </is>
      </c>
    </row>
    <row r="18">
      <c r="A18" s="7" t="inlineStr">
        <is>
          <t>COX</t>
        </is>
      </c>
      <c r="B18" s="7" t="inlineStr">
        <is>
          <t>Broad anti-inflammatory</t>
        </is>
      </c>
      <c r="C18" s="7" t="n">
        <v>3</v>
      </c>
      <c r="D18" s="7" t="inlineStr">
        <is>
          <t>Broad agents</t>
        </is>
      </c>
    </row>
    <row r="19">
      <c r="A19" s="7" t="inlineStr">
        <is>
          <t>A2A receptor</t>
        </is>
      </c>
      <c r="B19" s="7" t="inlineStr">
        <is>
          <t>Broad anti-inflammatory</t>
        </is>
      </c>
      <c r="C19" s="7" t="n">
        <v>3</v>
      </c>
      <c r="D19" s="7" t="inlineStr">
        <is>
          <t>Broad agents</t>
        </is>
      </c>
    </row>
    <row r="20">
      <c r="A20" s="7" t="inlineStr">
        <is>
          <t>Antibiotic</t>
        </is>
      </c>
      <c r="B20" s="7" t="inlineStr">
        <is>
          <t>Broad anti-inflammatory</t>
        </is>
      </c>
      <c r="C20" s="7" t="n">
        <v>3</v>
      </c>
      <c r="D20" s="7" t="inlineStr">
        <is>
          <t>Broad agents</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I66"/>
  <sheetViews>
    <sheetView tabSelected="1" zoomScaleNormal="100" workbookViewId="0">
      <pane xSplit="1" ySplit="1" topLeftCell="B2" activePane="bottomRight" state="frozen"/>
      <selection pane="topRight" activeCell="B1" sqref="B1"/>
      <selection pane="bottomLeft" activeCell="A2" sqref="A2"/>
      <selection pane="bottomRight" activeCell="D6" sqref="D6"/>
    </sheetView>
  </sheetViews>
  <sheetFormatPr baseColWidth="8" defaultColWidth="8.6328125" defaultRowHeight="14.5"/>
  <cols>
    <col width="6" customWidth="1" min="1" max="1"/>
    <col width="22" customWidth="1" min="2" max="2"/>
    <col width="40" customWidth="1" min="3" max="3"/>
    <col width="60" customWidth="1" min="4" max="4"/>
    <col width="30" customWidth="1" min="5" max="5"/>
    <col width="7" customWidth="1" min="6" max="6"/>
    <col width="36" customWidth="1" min="7" max="7"/>
    <col width="12" customWidth="1" min="8" max="8"/>
    <col width="90" customWidth="1" min="9" max="9"/>
  </cols>
  <sheetData>
    <row r="1" ht="28" customHeight="1">
      <c r="A1" s="6" t="inlineStr">
        <is>
          <t>Ref.</t>
        </is>
      </c>
      <c r="B1" s="6" t="inlineStr">
        <is>
          <t>Citation</t>
        </is>
      </c>
      <c r="C1" s="6" t="inlineStr">
        <is>
          <t>Authors</t>
        </is>
      </c>
      <c r="D1" s="6" t="inlineStr">
        <is>
          <t>Title</t>
        </is>
      </c>
      <c r="E1" s="6" t="inlineStr">
        <is>
          <t>Journal</t>
        </is>
      </c>
      <c r="F1" s="6" t="inlineStr">
        <is>
          <t>Year</t>
        </is>
      </c>
      <c r="G1" s="6" t="inlineStr">
        <is>
          <t>DOI</t>
        </is>
      </c>
      <c r="H1" s="6" t="inlineStr">
        <is>
          <t>Experiments in wheel</t>
        </is>
      </c>
      <c r="I1" s="6" t="inlineStr">
        <is>
          <t>Full reference (as in manuscript)</t>
        </is>
      </c>
    </row>
    <row r="2" ht="42" customHeight="1">
      <c r="A2" s="17" t="n">
        <v>49</v>
      </c>
      <c r="B2" s="17" t="inlineStr">
        <is>
          <t>Cueva Vargas et al., 2015</t>
        </is>
      </c>
      <c r="C2" s="2" t="inlineStr">
        <is>
          <t>Cueva Vargas JL, Osswald IK, Unsain N, Aurousseau MR, Barker PA, Bowie D, et al</t>
        </is>
      </c>
      <c r="D2" s="2" t="inlineStr">
        <is>
          <t>Soluble Tumor Necrosis Factor Alpha Promotes Retinal Ganglion Cell Death in Glaucoma via Calcium-Permeable AMPA Receptor Activation</t>
        </is>
      </c>
      <c r="E2" s="17" t="inlineStr">
        <is>
          <t>J Neurosci</t>
        </is>
      </c>
      <c r="F2" s="17" t="n">
        <v>2015</v>
      </c>
      <c r="G2" s="17" t="inlineStr">
        <is>
          <t>https://doi.org/10.1523/JNEUROSCI.1273-15.2015</t>
        </is>
      </c>
      <c r="H2" s="17">
        <f>COUNTIFS(Experiments!$G$2:$G$79,A2,Experiments!$T$2:$T$79,"yes")</f>
        <v/>
      </c>
      <c r="I2" s="2" t="inlineStr">
        <is>
          <t>Cueva Vargas JL, Osswald IK, Unsain N, Aurousseau MR, Barker PA, Bowie D, et al. Soluble Tumor Necrosis Factor Alpha Promotes Retinal Ganglion Cell Death in Glaucoma via Calcium-Permeable AMPA Receptor Activation. J Neurosci. 2015;35:12088–102.</t>
        </is>
      </c>
    </row>
    <row r="3" ht="42" customHeight="1">
      <c r="A3" s="17" t="n">
        <v>55</v>
      </c>
      <c r="B3" s="17" t="inlineStr">
        <is>
          <t>Roh et al., 2012</t>
        </is>
      </c>
      <c r="C3" s="2" t="inlineStr">
        <is>
          <t>Roh M, Zhang Y, Murakami Y, Thanos A, Lee SC, Vavvas DG, et al</t>
        </is>
      </c>
      <c r="D3" s="2" t="inlineStr">
        <is>
          <t>Etanercept, a Widely Used Inhibitor of Tumor Necrosis Factor-α (TNF- α), Prevents Retinal Ganglion Cell Loss in a Rat Model of Glaucoma</t>
        </is>
      </c>
      <c r="E3" s="17" t="inlineStr">
        <is>
          <t>PLoS One</t>
        </is>
      </c>
      <c r="F3" s="17" t="n">
        <v>2012</v>
      </c>
      <c r="G3" s="17" t="inlineStr">
        <is>
          <t>https://doi.org/10.1371/journal.pone.0040065</t>
        </is>
      </c>
      <c r="H3" s="17">
        <f>COUNTIFS(Experiments!$G$2:$G$79,A3,Experiments!$T$2:$T$79,"yes")</f>
        <v/>
      </c>
      <c r="I3" s="2" t="inlineStr">
        <is>
          <t>Roh M, Zhang Y, Murakami Y, Thanos A, Lee SC, Vavvas DG, et al. Etanercept, a Widely Used Inhibitor of Tumor Necrosis Factor-α (TNF- α), Prevents Retinal Ganglion Cell Loss in a Rat Model of Glaucoma. PLoS One. 2012;7:e40065.</t>
        </is>
      </c>
    </row>
    <row r="4" ht="42" customHeight="1">
      <c r="A4" s="17" t="n">
        <v>56</v>
      </c>
      <c r="B4" s="17" t="inlineStr">
        <is>
          <t>Tse et al., 2018</t>
        </is>
      </c>
      <c r="C4" s="2" t="inlineStr">
        <is>
          <t>Tse BC, Dvoriantchikova G, Tao W, Gallo RA, Lee JY, Pappas S, et al</t>
        </is>
      </c>
      <c r="D4" s="2" t="inlineStr">
        <is>
          <t>Tumor Necrosis Factor Inhibition in the Acute Management of Traumatic Optic Neuropathy</t>
        </is>
      </c>
      <c r="E4" s="17" t="inlineStr">
        <is>
          <t>Invest Ophthalmol Vis Sci</t>
        </is>
      </c>
      <c r="F4" s="17" t="n">
        <v>2018</v>
      </c>
      <c r="G4" s="17" t="inlineStr">
        <is>
          <t>https://doi.org/10.1167/iovs.18-24431</t>
        </is>
      </c>
      <c r="H4" s="17">
        <f>COUNTIFS(Experiments!$G$2:$G$79,A4,Experiments!$T$2:$T$79,"yes")</f>
        <v/>
      </c>
      <c r="I4" s="2" t="inlineStr">
        <is>
          <t>Tse BC, Dvoriantchikova G, Tao W, Gallo RA, Lee JY, Pappas S, et al. Tumor Necrosis Factor Inhibition in the Acute Management of Traumatic Optic Neuropathy. Invest Ophthalmol Vis Sci. 2018;59:2905–12.</t>
        </is>
      </c>
    </row>
    <row r="5" ht="28" customHeight="1">
      <c r="A5" s="17" t="n">
        <v>57</v>
      </c>
      <c r="B5" s="17" t="inlineStr">
        <is>
          <t>Bae et al., 2016</t>
        </is>
      </c>
      <c r="C5" s="2" t="inlineStr">
        <is>
          <t>Bae HW, Lee N, Seong GJ, Rho S, Hong S, Kim CY</t>
        </is>
      </c>
      <c r="D5" s="2" t="inlineStr">
        <is>
          <t>Protective effect of etanercept, an inhibitor of tumor necrosis factor-α, in a rat model of retinal ischemia</t>
        </is>
      </c>
      <c r="E5" s="17" t="inlineStr">
        <is>
          <t>BMC Ophthalmology</t>
        </is>
      </c>
      <c r="F5" s="17" t="n">
        <v>2016</v>
      </c>
      <c r="G5" s="17" t="inlineStr">
        <is>
          <t>https://doi.org/10.1186/s12886-016-0262-9</t>
        </is>
      </c>
      <c r="H5" s="17">
        <f>COUNTIFS(Experiments!$G$2:$G$79,A5,Experiments!$T$2:$T$79,"yes")</f>
        <v/>
      </c>
      <c r="I5" s="2" t="inlineStr">
        <is>
          <t>Bae HW, Lee N, Seong GJ, Rho S, Hong S, Kim CY. Protective effect of etanercept, an inhibitor of tumor necrosis factor-α, in a rat model of retinal ischemia. BMC Ophthalmology. 2016;16:75.</t>
        </is>
      </c>
    </row>
    <row r="6" ht="42" customHeight="1">
      <c r="A6" s="17" t="n">
        <v>68</v>
      </c>
      <c r="B6" s="17" t="inlineStr">
        <is>
          <t>Lucas-Ruiz et al., 2019</t>
        </is>
      </c>
      <c r="C6" s="2" t="inlineStr">
        <is>
          <t>Lucas-Ruiz F, Galindo-Romero C, Salinas-Navarro M, González-Riquelme MJ, Vidal-Sanz M, Agudo Barriuso M</t>
        </is>
      </c>
      <c r="D6" s="2" t="inlineStr">
        <is>
          <t>Systemic and Intravitreal Antagonism of the TNFR1 Signaling Pathway Delays Axotomy-Induced Retinal Ganglion Cell Loss</t>
        </is>
      </c>
      <c r="E6" s="17" t="inlineStr">
        <is>
          <t>Front Neurosci</t>
        </is>
      </c>
      <c r="F6" s="17" t="n">
        <v>2019</v>
      </c>
      <c r="G6" s="17" t="inlineStr">
        <is>
          <t>https://doi.org/10.3389/fnins.2019.01096</t>
        </is>
      </c>
      <c r="H6" s="17">
        <f>COUNTIFS(Experiments!$G$2:$G$79,A6,Experiments!$T$2:$T$79,"yes")</f>
        <v/>
      </c>
      <c r="I6" s="2" t="inlineStr">
        <is>
          <t>Lucas-Ruiz F, Galindo-Romero C, Salinas-Navarro M, González-Riquelme MJ, Vidal-Sanz M, Agudo Barriuso M. Systemic and Intravitreal Antagonism of the TNFR1 Signaling Pathway Delays Axotomy-Induced Retinal Ganglion Cell Loss. Front Neurosci. 2019;13:1096.</t>
        </is>
      </c>
    </row>
    <row r="7" ht="28" customHeight="1">
      <c r="A7" s="17" t="n">
        <v>77</v>
      </c>
      <c r="B7" s="17" t="inlineStr">
        <is>
          <t>Yoneda et al., 2001</t>
        </is>
      </c>
      <c r="C7" s="2" t="inlineStr">
        <is>
          <t>Yoneda S, Tanihara H, Kido N, Honda Y, Goto W, Hara H, et al</t>
        </is>
      </c>
      <c r="D7" s="2" t="inlineStr">
        <is>
          <t>Interleukin-1beta mediates ischemic injury in the rat retina</t>
        </is>
      </c>
      <c r="E7" s="17" t="inlineStr">
        <is>
          <t>Exp Eye Res</t>
        </is>
      </c>
      <c r="F7" s="17" t="n">
        <v>2001</v>
      </c>
      <c r="G7" s="17" t="inlineStr">
        <is>
          <t>https://doi.org/10.1006/exer.2001.1072</t>
        </is>
      </c>
      <c r="H7" s="17">
        <f>COUNTIFS(Experiments!$G$2:$G$79,A7,Experiments!$T$2:$T$79,"yes")</f>
        <v/>
      </c>
      <c r="I7" s="2" t="inlineStr">
        <is>
          <t>Yoneda S, Tanihara H, Kido N, Honda Y, Goto W, Hara H, et al. Interleukin-1beta mediates ischemic injury in the rat retina. Exp Eye Res. 2001;73:661–7.</t>
        </is>
      </c>
    </row>
    <row r="8" ht="42" customHeight="1">
      <c r="A8" s="17" t="n">
        <v>78</v>
      </c>
      <c r="B8" s="17" t="inlineStr">
        <is>
          <t>Evans et al., 2020</t>
        </is>
      </c>
      <c r="C8" s="2" t="inlineStr">
        <is>
          <t>Evans LP, Woll AW, Wu S, Todd BP, Hehr N, Hedberg-Buenz A, et al</t>
        </is>
      </c>
      <c r="D8" s="2" t="inlineStr">
        <is>
          <t>Modulation of Post-Traumatic Immune Response Using the IL-1 Receptor Antagonist Anakinra for Improved Visual Outcomes</t>
        </is>
      </c>
      <c r="E8" s="17" t="inlineStr">
        <is>
          <t>J Neurotrauma</t>
        </is>
      </c>
      <c r="F8" s="17" t="n">
        <v>2020</v>
      </c>
      <c r="G8" s="17" t="inlineStr">
        <is>
          <t>https://doi.org/10.1089/neu.2019.6725</t>
        </is>
      </c>
      <c r="H8" s="17">
        <f>COUNTIFS(Experiments!$G$2:$G$79,A8,Experiments!$T$2:$T$79,"yes")</f>
        <v/>
      </c>
      <c r="I8" s="2" t="inlineStr">
        <is>
          <t>Evans LP, Woll AW, Wu S, Todd BP, Hehr N, Hedberg-Buenz A, et al. Modulation of Post-Traumatic Immune Response Using the IL-1 Receptor Antagonist Anakinra for Improved Visual Outcomes. J Neurotrauma. 2020;37:1463–80.</t>
        </is>
      </c>
    </row>
    <row r="9" ht="42" customHeight="1">
      <c r="A9" s="17" t="n">
        <v>86</v>
      </c>
      <c r="B9" s="17" t="inlineStr">
        <is>
          <t>Robinson et al., 2020</t>
        </is>
      </c>
      <c r="C9" s="2" t="inlineStr">
        <is>
          <t>Robinson R, Srinivasan M, Shanmugam A, Ward A, Ganapathy V, Bloom J, et al</t>
        </is>
      </c>
      <c r="D9" s="2" t="inlineStr">
        <is>
          <t>Interleukin-6 trans-signaling inhibition prevents oxidative stress in a mouse model of early diabetic retinopathy</t>
        </is>
      </c>
      <c r="E9" s="17" t="inlineStr">
        <is>
          <t>Redox Biol</t>
        </is>
      </c>
      <c r="F9" s="17" t="n">
        <v>2020</v>
      </c>
      <c r="G9" s="17" t="inlineStr">
        <is>
          <t>https://doi.org/10.1016/j.redox.2020.101574</t>
        </is>
      </c>
      <c r="H9" s="17">
        <f>COUNTIFS(Experiments!$G$2:$G$79,A9,Experiments!$T$2:$T$79,"yes")</f>
        <v/>
      </c>
      <c r="I9" s="2" t="inlineStr">
        <is>
          <t>Robinson R, Srinivasan M, Shanmugam A, Ward A, Ganapathy V, Bloom J, et al. Interleukin-6 trans-signaling inhibition prevents oxidative stress in a mouse model of early diabetic retinopathy. Redox Biol. 2020;34:101574.</t>
        </is>
      </c>
    </row>
    <row r="10" ht="42" customHeight="1">
      <c r="A10" s="17" t="n">
        <v>89</v>
      </c>
      <c r="B10" s="17" t="inlineStr">
        <is>
          <t>Sakamoto et al., 2017</t>
        </is>
      </c>
      <c r="C10" s="2" t="inlineStr">
        <is>
          <t>Sakamoto K, Okuwaki T, Ushikubo H, Mori A, Nakahara T, Ishii K</t>
        </is>
      </c>
      <c r="D10" s="2" t="inlineStr">
        <is>
          <t>Activation inhibitors of nuclear factor kappa B protect neurons against the NMDA-induced damage in the rat retina</t>
        </is>
      </c>
      <c r="E10" s="17" t="inlineStr">
        <is>
          <t>Journal of Pharmacological Sciences</t>
        </is>
      </c>
      <c r="F10" s="17" t="n">
        <v>2017</v>
      </c>
      <c r="G10" s="17" t="inlineStr">
        <is>
          <t>https://doi.org/10.1016/j.jphs.2017.09.031</t>
        </is>
      </c>
      <c r="H10" s="17">
        <f>COUNTIFS(Experiments!$G$2:$G$79,A10,Experiments!$T$2:$T$79,"yes")</f>
        <v/>
      </c>
      <c r="I10" s="2" t="inlineStr">
        <is>
          <t>Sakamoto K, Okuwaki T, Ushikubo H, Mori A, Nakahara T, Ishii K. Activation inhibitors of nuclear factor kappa B protect neurons against the NMDA-induced damage in the rat retina. Journal of Pharmacological Sciences. 2017;135:72–80.</t>
        </is>
      </c>
    </row>
    <row r="11" ht="42" customHeight="1">
      <c r="A11" s="17" t="n">
        <v>90</v>
      </c>
      <c r="B11" s="17" t="inlineStr">
        <is>
          <t>Ding et al., 2023</t>
        </is>
      </c>
      <c r="C11" s="2" t="inlineStr">
        <is>
          <t>Ding X, Sun Z, Guo Y, Tang W, Shu Q, Xu G</t>
        </is>
      </c>
      <c r="D11" s="2" t="inlineStr">
        <is>
          <t>Inhibition of NF-κB ameliorates aberrant retinal glia activation and inflammatory responses in streptozotocin-induced diabetic rats</t>
        </is>
      </c>
      <c r="E11" s="17" t="inlineStr">
        <is>
          <t>Ann Transl Med</t>
        </is>
      </c>
      <c r="F11" s="17" t="n">
        <v>2023</v>
      </c>
      <c r="G11" s="17" t="inlineStr">
        <is>
          <t>https://doi.org/10.21037/atm-22-2204</t>
        </is>
      </c>
      <c r="H11" s="17">
        <f>COUNTIFS(Experiments!$G$2:$G$79,A11,Experiments!$T$2:$T$79,"yes")</f>
        <v/>
      </c>
      <c r="I11" s="2" t="inlineStr">
        <is>
          <t>Ding X, Sun Z, Guo Y, Tang W, Shu Q, Xu G. Inhibition of NF-κB ameliorates aberrant retinal glia activation and inflammatory responses in streptozotocin-induced diabetic rats. Ann Transl Med. 2023;11:197.</t>
        </is>
      </c>
    </row>
    <row r="12" ht="42" customHeight="1">
      <c r="A12" s="17" t="n">
        <v>91</v>
      </c>
      <c r="B12" s="17" t="inlineStr">
        <is>
          <t>Wei et al., 2018</t>
        </is>
      </c>
      <c r="C12" s="2" t="inlineStr">
        <is>
          <t>Wei H-Y, Zhang Y-J, Zhao S-Z</t>
        </is>
      </c>
      <c r="D12" s="2" t="inlineStr">
        <is>
          <t>Puerarin regulates neovascular glaucoma through pigment epithelium‑derived growth factor‑induced NF‑κB signaling pathway</t>
        </is>
      </c>
      <c r="E12" s="17" t="inlineStr">
        <is>
          <t>Molecular Medicine Reports</t>
        </is>
      </c>
      <c r="F12" s="17" t="n">
        <v>2018</v>
      </c>
      <c r="G12" s="17" t="inlineStr">
        <is>
          <t>https://doi.org/10.3892/mmr.2018.8800</t>
        </is>
      </c>
      <c r="H12" s="17">
        <f>COUNTIFS(Experiments!$G$2:$G$79,A12,Experiments!$T$2:$T$79,"yes")</f>
        <v/>
      </c>
      <c r="I12" s="2" t="inlineStr">
        <is>
          <t>Wei H-Y, Zhang Y-J, Zhao S-Z. Puerarin regulates neovascular glaucoma through pigment epithelium‑derived growth factor‑induced NF‑κB signaling pathway. Molecular Medicine Reports. Spandidos Publications; 2018;17:7866–74.</t>
        </is>
      </c>
    </row>
    <row r="13" ht="42" customHeight="1">
      <c r="A13" s="17" t="n">
        <v>92</v>
      </c>
      <c r="B13" s="17" t="inlineStr">
        <is>
          <t>Sterling et al., 2020</t>
        </is>
      </c>
      <c r="C13" s="2" t="inlineStr">
        <is>
          <t>Sterling JK, Adetunji MO, Guttha S, Bargoud AR, Uyhazi KE, Ross AG, et al</t>
        </is>
      </c>
      <c r="D13" s="2" t="inlineStr">
        <is>
          <t>GLP-1 Receptor Agonist NLY01 Reduces Retinal Inflammation and Neuron Death Secondary to Ocular Hypertension</t>
        </is>
      </c>
      <c r="E13" s="17" t="inlineStr">
        <is>
          <t>Cell Reports [Internet]</t>
        </is>
      </c>
      <c r="F13" s="17" t="n">
        <v>2020</v>
      </c>
      <c r="G13" s="17" t="inlineStr">
        <is>
          <t>https://doi.org/10.1016/j.celrep.2020.108271</t>
        </is>
      </c>
      <c r="H13" s="17">
        <f>COUNTIFS(Experiments!$G$2:$G$79,A13,Experiments!$T$2:$T$79,"yes")</f>
        <v/>
      </c>
      <c r="I13" s="2" t="inlineStr">
        <is>
          <t>Sterling JK, Adetunji MO, Guttha S, Bargoud AR, Uyhazi KE, Ross AG, et al. GLP-1 Receptor Agonist NLY01 Reduces Retinal Inflammation and Neuron Death Secondary to Ocular Hypertension. Cell Reports [Internet]. Elsevier; 2020 [cited 2025 June 1];33.</t>
        </is>
      </c>
    </row>
    <row r="14" ht="42" customHeight="1">
      <c r="A14" s="17" t="n">
        <v>93</v>
      </c>
      <c r="B14" s="17" t="inlineStr">
        <is>
          <t>Satriano et al., 2025</t>
        </is>
      </c>
      <c r="C14" s="2" t="inlineStr">
        <is>
          <t>Satriano A, Martucci A, Adornetto A, Benfatto E, Tettamanti G, Bruno D, et al</t>
        </is>
      </c>
      <c r="D14" s="2" t="inlineStr">
        <is>
          <t>Metformin protects retinal ganglion cells in a preclinical model of retinal ischemia/reperfusion injury and stabilizes visual field in diabetic patients with glaucoma</t>
        </is>
      </c>
      <c r="E14" s="17" t="inlineStr">
        <is>
          <t>Cell Death Discov</t>
        </is>
      </c>
      <c r="F14" s="17" t="n">
        <v>2025</v>
      </c>
      <c r="G14" s="17" t="inlineStr">
        <is>
          <t>https://doi.org/10.1038/s41420-025-02824-y</t>
        </is>
      </c>
      <c r="H14" s="17">
        <f>COUNTIFS(Experiments!$G$2:$G$79,A14,Experiments!$T$2:$T$79,"yes")</f>
        <v/>
      </c>
      <c r="I14" s="2" t="inlineStr">
        <is>
          <t>Satriano A, Martucci A, Adornetto A, Benfatto E, Tettamanti G, Bruno D, et al. Metformin protects retinal ganglion cells in a preclinical model of retinal ischemia/reperfusion injury and stabilizes visual field in diabetic patients with glaucoma. Cell Death Discov. Nature Publishing Group; 2025;11:546.</t>
        </is>
      </c>
    </row>
    <row r="15" ht="42" customHeight="1">
      <c r="A15" s="17" t="n">
        <v>94</v>
      </c>
      <c r="B15" s="17" t="inlineStr">
        <is>
          <t>Lambert et al., 2020</t>
        </is>
      </c>
      <c r="C15" s="2" t="inlineStr">
        <is>
          <t>Lambert WS, Pasini S, Collyer JW, Formichella CR, Ghose P, Carlson BJ, et al</t>
        </is>
      </c>
      <c r="D15" s="2" t="inlineStr">
        <is>
          <t>Of Mice and Monkeys: Neuroprotective Efficacy of the p38 Inhibitor BIRB 796 Depends on Model Duration in Experimental Glaucoma</t>
        </is>
      </c>
      <c r="E15" s="17" t="inlineStr">
        <is>
          <t>Sci Rep</t>
        </is>
      </c>
      <c r="F15" s="17" t="n">
        <v>2020</v>
      </c>
      <c r="G15" s="17" t="inlineStr">
        <is>
          <t>https://doi.org/10.1038/s41598-020-65374-6</t>
        </is>
      </c>
      <c r="H15" s="17">
        <f>COUNTIFS(Experiments!$G$2:$G$79,A15,Experiments!$T$2:$T$79,"yes")</f>
        <v/>
      </c>
      <c r="I15" s="2" t="inlineStr">
        <is>
          <t>Lambert WS, Pasini S, Collyer JW, Formichella CR, Ghose P, Carlson BJ, et al. Of Mice and Monkeys: Neuroprotective Efficacy of the p38 Inhibitor BIRB 796 Depends on Model Duration in Experimental Glaucoma. Sci Rep. 2020;10:8535.</t>
        </is>
      </c>
    </row>
    <row r="16" ht="42" customHeight="1">
      <c r="A16" s="17" t="n">
        <v>96</v>
      </c>
      <c r="B16" s="17" t="inlineStr">
        <is>
          <t>Zhang et al., 2018</t>
        </is>
      </c>
      <c r="C16" s="2" t="inlineStr">
        <is>
          <t>Zhang Q, Wang W, Jiang Y, A-tuya, Dongmei, Li L, et al</t>
        </is>
      </c>
      <c r="D16" s="2" t="inlineStr">
        <is>
          <t>GRGM-13 comprising 13 plant and animal products, inhibited oxidative stress induced apoptosis in retinal ganglion cells by inhibiting P2RX7/p38 MAPK signaling pathway</t>
        </is>
      </c>
      <c r="E16" s="17" t="inlineStr">
        <is>
          <t>Biomedicine &amp; Pharmacotherapy</t>
        </is>
      </c>
      <c r="F16" s="17" t="n">
        <v>2018</v>
      </c>
      <c r="G16" s="17" t="inlineStr">
        <is>
          <t>https://doi.org/10.1016/j.biopha.2018.02.107</t>
        </is>
      </c>
      <c r="H16" s="17">
        <f>COUNTIFS(Experiments!$G$2:$G$79,A16,Experiments!$T$2:$T$79,"yes")</f>
        <v/>
      </c>
      <c r="I16" s="2" t="inlineStr">
        <is>
          <t>Zhang Q, Wang W, Jiang Y, A-tuya, Dongmei, Li L, et al. GRGM-13 comprising 13 plant and animal products, inhibited oxidative stress induced apoptosis in retinal ganglion cells by inhibiting P2RX7/p38 MAPK signaling pathway. Biomedicine &amp; Pharmacotherapy. 2018;101:494–500.</t>
        </is>
      </c>
    </row>
    <row r="17" ht="28" customHeight="1">
      <c r="A17" s="17" t="n">
        <v>97</v>
      </c>
      <c r="B17" s="17" t="inlineStr">
        <is>
          <t>Dapper et al., 2013</t>
        </is>
      </c>
      <c r="C17" s="2" t="inlineStr">
        <is>
          <t>Dapper JD, Crish SD, Pang I-H, Calkins DJ</t>
        </is>
      </c>
      <c r="D17" s="2" t="inlineStr">
        <is>
          <t>Proximal Inhibition of p38 MAPK Stress Signaling Prevents Distal Axonopathy</t>
        </is>
      </c>
      <c r="E17" s="17" t="inlineStr">
        <is>
          <t>Neurobiol Dis</t>
        </is>
      </c>
      <c r="F17" s="17" t="n">
        <v>2013</v>
      </c>
      <c r="G17" s="17" t="inlineStr">
        <is>
          <t>https://doi.org/10.1016/j.nbd.2013.07.001</t>
        </is>
      </c>
      <c r="H17" s="17">
        <f>COUNTIFS(Experiments!$G$2:$G$79,A17,Experiments!$T$2:$T$79,"yes")</f>
        <v/>
      </c>
      <c r="I17" s="2" t="inlineStr">
        <is>
          <t>Dapper JD, Crish SD, Pang I-H, Calkins DJ. Proximal Inhibition of p38 MAPK Stress Signaling Prevents Distal Axonopathy. Neurobiol Dis. 2013;59:26–37.</t>
        </is>
      </c>
    </row>
    <row r="18" ht="42" customHeight="1">
      <c r="A18" s="17" t="n">
        <v>98</v>
      </c>
      <c r="B18" s="17" t="inlineStr">
        <is>
          <t>Wang et al., 2025</t>
        </is>
      </c>
      <c r="C18" s="2" t="inlineStr">
        <is>
          <t>Wang S, Xiao R, Lu Y, Zhang Y, Zhang S, Liu X, et al</t>
        </is>
      </c>
      <c r="D18" s="2" t="inlineStr">
        <is>
          <t>Inhibiting NLRP3 Inflammasome Activation to Alleviate Retinal Inflammation and Protect the Optic Nerve of OPTN(E50K)Mice</t>
        </is>
      </c>
      <c r="E18" s="17" t="inlineStr">
        <is>
          <t>Inflammation</t>
        </is>
      </c>
      <c r="F18" s="17" t="n">
        <v>2025</v>
      </c>
      <c r="G18" s="17" t="inlineStr">
        <is>
          <t>https://doi.org/10.1007/s10753-024-02178-0</t>
        </is>
      </c>
      <c r="H18" s="17">
        <f>COUNTIFS(Experiments!$G$2:$G$79,A18,Experiments!$T$2:$T$79,"yes")</f>
        <v/>
      </c>
      <c r="I18" s="2" t="inlineStr">
        <is>
          <t>Wang S, Xiao R, Lu Y, Zhang Y, Zhang S, Liu X, et al. Inhibiting NLRP3 Inflammasome Activation to Alleviate Retinal Inflammation and Protect the Optic Nerve of OPTN(E50K)Mice. Inflammation. 2025;48:2105–21.</t>
        </is>
      </c>
    </row>
    <row r="19" ht="28" customHeight="1">
      <c r="A19" s="17" t="n">
        <v>99</v>
      </c>
      <c r="B19" s="17" t="inlineStr">
        <is>
          <t>Ge et al., 2022</t>
        </is>
      </c>
      <c r="C19" s="2" t="inlineStr">
        <is>
          <t>Ge K, Wang Y, Li P, Li M, Zhang W, Dan H, et al</t>
        </is>
      </c>
      <c r="D19" s="2" t="inlineStr">
        <is>
          <t>Down-expression of the NLRP3 inflammasome delays the progression of diabetic retinopathy</t>
        </is>
      </c>
      <c r="E19" s="17" t="inlineStr">
        <is>
          <t>Microvascular Research</t>
        </is>
      </c>
      <c r="F19" s="17" t="n">
        <v>2022</v>
      </c>
      <c r="G19" s="17" t="inlineStr">
        <is>
          <t>https://doi.org/10.1016/j.mvr.2021.104265</t>
        </is>
      </c>
      <c r="H19" s="17">
        <f>COUNTIFS(Experiments!$G$2:$G$79,A19,Experiments!$T$2:$T$79,"yes")</f>
        <v/>
      </c>
      <c r="I19" s="2" t="inlineStr">
        <is>
          <t>Ge K, Wang Y, Li P, Li M, Zhang W, Dan H, et al. Down-expression of the NLRP3 inflammasome delays the progression of diabetic retinopathy. Microvascular Research. 2022;139:104265.</t>
        </is>
      </c>
    </row>
    <row r="20" ht="42" customHeight="1">
      <c r="A20" s="17" t="n">
        <v>100</v>
      </c>
      <c r="B20" s="17" t="inlineStr">
        <is>
          <t>Yuan et al., 2024</t>
        </is>
      </c>
      <c r="C20" s="2" t="inlineStr">
        <is>
          <t>Yuan H, Chen S, Duncan MR, de Rivero Vaccari JP, Keane RW, Dalton Dietrich W, et al</t>
        </is>
      </c>
      <c r="D20" s="2" t="inlineStr">
        <is>
          <t>IC100, a humanized therapeutic monoclonal anti-ASC antibody alleviates oxygen-induced retinopathy in mice</t>
        </is>
      </c>
      <c r="E20" s="17" t="inlineStr">
        <is>
          <t>Angiogenesis</t>
        </is>
      </c>
      <c r="F20" s="17" t="n">
        <v>2024</v>
      </c>
      <c r="G20" s="17" t="inlineStr">
        <is>
          <t>https://doi.org/10.1007/s10456-024-09917-9</t>
        </is>
      </c>
      <c r="H20" s="17">
        <f>COUNTIFS(Experiments!$G$2:$G$79,A20,Experiments!$T$2:$T$79,"yes")</f>
        <v/>
      </c>
      <c r="I20" s="2" t="inlineStr">
        <is>
          <t>Yuan H, Chen S, Duncan MR, de Rivero Vaccari JP, Keane RW, Dalton Dietrich W, et al. IC100, a humanized therapeutic monoclonal anti-ASC antibody alleviates oxygen-induced retinopathy in mice. Angiogenesis. 2024;27:423–40.</t>
        </is>
      </c>
    </row>
    <row r="21" ht="42" customHeight="1">
      <c r="A21" s="17" t="n">
        <v>101</v>
      </c>
      <c r="B21" s="17" t="inlineStr">
        <is>
          <t>Nakano et al., 2017</t>
        </is>
      </c>
      <c r="C21" s="2" t="inlineStr">
        <is>
          <t>Nakano Y, Shimazawa M, Ojino K, Izawa H, Takeuchi H, Inoue Y, et al</t>
        </is>
      </c>
      <c r="D21" s="2" t="inlineStr">
        <is>
          <t>Toll-like receptor 4 inhibitor protects against retinal ganglion cell damage induced by optic nerve crush in mice</t>
        </is>
      </c>
      <c r="E21" s="17" t="inlineStr">
        <is>
          <t>Journal of Pharmacological Sciences</t>
        </is>
      </c>
      <c r="F21" s="17" t="n">
        <v>2017</v>
      </c>
      <c r="G21" s="17" t="inlineStr">
        <is>
          <t>https://doi.org/10.1016/j.jphs.2017.02.012</t>
        </is>
      </c>
      <c r="H21" s="17">
        <f>COUNTIFS(Experiments!$G$2:$G$79,A21,Experiments!$T$2:$T$79,"yes")</f>
        <v/>
      </c>
      <c r="I21" s="2" t="inlineStr">
        <is>
          <t>Nakano Y, Shimazawa M, Ojino K, Izawa H, Takeuchi H, Inoue Y, et al. Toll-like receptor 4 inhibitor protects against retinal ganglion cell damage induced by optic nerve crush in mice. Journal of Pharmacological Sciences. 2017;133:176–83.</t>
        </is>
      </c>
    </row>
    <row r="22" ht="28" customHeight="1">
      <c r="A22" s="17" t="n">
        <v>102</v>
      </c>
      <c r="B22" s="17" t="inlineStr">
        <is>
          <t>Lin et al., 2023</t>
        </is>
      </c>
      <c r="C22" s="2" t="inlineStr">
        <is>
          <t>Lin Z, Ru L, Wang H, Mao K</t>
        </is>
      </c>
      <c r="D22" s="2" t="inlineStr">
        <is>
          <t>TLR4 Inhibition Protects against Retinal Ganglion Cell Damage in Rats with Chronic Ocular Hypertension</t>
        </is>
      </c>
      <c r="E22" s="17" t="inlineStr">
        <is>
          <t>Discov Med</t>
        </is>
      </c>
      <c r="F22" s="17" t="n">
        <v>2023</v>
      </c>
      <c r="G22" s="17" t="inlineStr">
        <is>
          <t>https://doi.org/10.24976/Discov.Med.202335178.74</t>
        </is>
      </c>
      <c r="H22" s="17">
        <f>COUNTIFS(Experiments!$G$2:$G$79,A22,Experiments!$T$2:$T$79,"yes")</f>
        <v/>
      </c>
      <c r="I22" s="2" t="inlineStr">
        <is>
          <t>Lin Z, Ru L, Wang H, Mao K. TLR4 Inhibition Protects against Retinal Ganglion Cell Damage in Rats with Chronic Ocular Hypertension. Discov Med. 2023;35:796–804.</t>
        </is>
      </c>
    </row>
    <row r="23" ht="42" customHeight="1">
      <c r="A23" s="17" t="n">
        <v>103</v>
      </c>
      <c r="B23" s="17" t="inlineStr">
        <is>
          <t>Romano et al., 2020</t>
        </is>
      </c>
      <c r="C23" s="2" t="inlineStr">
        <is>
          <t>Romano GL, Amato R, Lazzara F, Porciatti V, Chou T-H, Drago F, et al</t>
        </is>
      </c>
      <c r="D23" s="2" t="inlineStr">
        <is>
          <t>P2X7 receptor antagonism preserves retinal ganglion cells in glaucomatous mice</t>
        </is>
      </c>
      <c r="E23" s="17" t="inlineStr">
        <is>
          <t>Biochemical Pharmacology</t>
        </is>
      </c>
      <c r="F23" s="17" t="n">
        <v>2020</v>
      </c>
      <c r="G23" s="17" t="inlineStr">
        <is>
          <t>https://doi.org/10.1016/j.bcp.2020.114199</t>
        </is>
      </c>
      <c r="H23" s="17">
        <f>COUNTIFS(Experiments!$G$2:$G$79,A23,Experiments!$T$2:$T$79,"yes")</f>
        <v/>
      </c>
      <c r="I23" s="2" t="inlineStr">
        <is>
          <t>Romano GL, Amato R, Lazzara F, Porciatti V, Chou T-H, Drago F, et al. P2X7 receptor antagonism preserves retinal ganglion cells in glaucomatous mice. Biochemical Pharmacology. 2020;180:114199.</t>
        </is>
      </c>
    </row>
    <row r="24" ht="28" customHeight="1">
      <c r="A24" s="17" t="n">
        <v>104</v>
      </c>
      <c r="B24" s="17" t="inlineStr">
        <is>
          <t>Zhu et al., 2024</t>
        </is>
      </c>
      <c r="C24" s="2" t="inlineStr">
        <is>
          <t>Zhu Y, Li S-Y, Zhang L-J, Lei B, Wang Y-C, Wang Z</t>
        </is>
      </c>
      <c r="D24" s="2" t="inlineStr">
        <is>
          <t>Neuroprotection of the P2X7 receptor antagonist A740003 on retinal ganglion cells in experimental glaucoma</t>
        </is>
      </c>
      <c r="E24" s="17" t="inlineStr">
        <is>
          <t>NeuroReport</t>
        </is>
      </c>
      <c r="F24" s="17" t="n">
        <v>2024</v>
      </c>
      <c r="G24" s="17" t="inlineStr">
        <is>
          <t>https://doi.org/10.1097/WNR.0000000000002071</t>
        </is>
      </c>
      <c r="H24" s="17">
        <f>COUNTIFS(Experiments!$G$2:$G$79,A24,Experiments!$T$2:$T$79,"yes")</f>
        <v/>
      </c>
      <c r="I24" s="2" t="inlineStr">
        <is>
          <t>Zhu Y, Li S-Y, Zhang L-J, Lei B, Wang Y-C, Wang Z. Neuroprotection of the P2X7 receptor antagonist A740003 on retinal ganglion cells in experimental glaucoma. NeuroReport. 2024;35:822.</t>
        </is>
      </c>
    </row>
    <row r="25" ht="42" customHeight="1">
      <c r="A25" s="17" t="n">
        <v>106</v>
      </c>
      <c r="B25" s="17" t="inlineStr">
        <is>
          <t>Feng et al., 2024</t>
        </is>
      </c>
      <c r="C25" s="2" t="inlineStr">
        <is>
          <t>Feng L, Dai S, Zhang C, Zhang W, Zhu W, Wang C, et al</t>
        </is>
      </c>
      <c r="D25" s="2" t="inlineStr">
        <is>
          <t>Ripa-56 protects retinal ganglion cells in glutamate-induced retinal excitotoxic model of glaucoma</t>
        </is>
      </c>
      <c r="E25" s="17" t="inlineStr">
        <is>
          <t>Sci Rep</t>
        </is>
      </c>
      <c r="F25" s="17" t="n">
        <v>2024</v>
      </c>
      <c r="G25" s="17" t="inlineStr">
        <is>
          <t>https://doi.org/10.1038/s41598-024-54075-z</t>
        </is>
      </c>
      <c r="H25" s="17">
        <f>COUNTIFS(Experiments!$G$2:$G$79,A25,Experiments!$T$2:$T$79,"yes")</f>
        <v/>
      </c>
      <c r="I25" s="2" t="inlineStr">
        <is>
          <t>Feng L, Dai S, Zhang C, Zhang W, Zhu W, Wang C, et al. Ripa-56 protects retinal ganglion cells in glutamate-induced retinal excitotoxic model of glaucoma. Sci Rep. Nature Publishing Group; 2024;14:3834.</t>
        </is>
      </c>
    </row>
    <row r="26" ht="42" customHeight="1">
      <c r="A26" s="17" t="n">
        <v>107</v>
      </c>
      <c r="B26" s="17" t="inlineStr">
        <is>
          <t>Liu et al., 2022</t>
        </is>
      </c>
      <c r="C26" s="2" t="inlineStr">
        <is>
          <t>Liu M, Li H, Yang R, Ji D, Xia X</t>
        </is>
      </c>
      <c r="D26" s="2" t="inlineStr">
        <is>
          <t>GSK872 and necrostatin-1 protect retinal ganglion cells against necroptosis through inhibition of RIP1/RIP3/MLKL pathway in glutamate-induced retinal excitotoxic model of glaucoma</t>
        </is>
      </c>
      <c r="E26" s="17" t="inlineStr">
        <is>
          <t>Journal of Neuroinflammation</t>
        </is>
      </c>
      <c r="F26" s="17" t="n">
        <v>2022</v>
      </c>
      <c r="G26" s="17" t="inlineStr">
        <is>
          <t>https://doi.org/10.1186/s12974-022-02626-4</t>
        </is>
      </c>
      <c r="H26" s="17">
        <f>COUNTIFS(Experiments!$G$2:$G$79,A26,Experiments!$T$2:$T$79,"yes")</f>
        <v/>
      </c>
      <c r="I26" s="2" t="inlineStr">
        <is>
          <t>Liu M, Li H, Yang R, Ji D, Xia X. GSK872 and necrostatin-1 protect retinal ganglion cells against necroptosis through inhibition of RIP1/RIP3/MLKL pathway in glutamate-induced retinal excitotoxic model of glaucoma. Journal of Neuroinflammation. 2022;19:262.</t>
        </is>
      </c>
    </row>
    <row r="27" ht="28" customHeight="1">
      <c r="A27" s="17" t="n">
        <v>108</v>
      </c>
      <c r="B27" s="17" t="inlineStr">
        <is>
          <t>Do et al., 2017</t>
        </is>
      </c>
      <c r="C27" s="2" t="inlineStr">
        <is>
          <t>Do Y-J, Sul J-W, Jang K-H, Kang NS, Kim Y-H, Kim Y-G, et al</t>
        </is>
      </c>
      <c r="D27" s="2" t="inlineStr">
        <is>
          <t>A novel RIPK1 inhibitor that prevents retinal degeneration in a rat glaucoma model</t>
        </is>
      </c>
      <c r="E27" s="17" t="inlineStr">
        <is>
          <t>Experimental Cell Research</t>
        </is>
      </c>
      <c r="F27" s="17" t="n">
        <v>2017</v>
      </c>
      <c r="G27" s="17" t="inlineStr">
        <is>
          <t>https://doi.org/10.1016/j.yexcr.2017.08.012</t>
        </is>
      </c>
      <c r="H27" s="17">
        <f>COUNTIFS(Experiments!$G$2:$G$79,A27,Experiments!$T$2:$T$79,"yes")</f>
        <v/>
      </c>
      <c r="I27" s="2" t="inlineStr">
        <is>
          <t>Do Y-J, Sul J-W, Jang K-H, Kang NS, Kim Y-H, Kim Y-G, et al. A novel RIPK1 inhibitor that prevents retinal degeneration in a rat glaucoma model. Experimental Cell Research. 2017;359:30–8.</t>
        </is>
      </c>
    </row>
    <row r="28" ht="28" customHeight="1">
      <c r="A28" s="17" t="n">
        <v>109</v>
      </c>
      <c r="B28" s="17" t="inlineStr">
        <is>
          <t>Liu et al., 2011</t>
        </is>
      </c>
      <c r="C28" s="2" t="inlineStr">
        <is>
          <t>Liu H, Sun H, Liu C</t>
        </is>
      </c>
      <c r="D28" s="2" t="inlineStr">
        <is>
          <t>Interference of the apoptotic signaling pathway in RGC stress response by SP600125 in moderate ocular hypertensive rats</t>
        </is>
      </c>
      <c r="E28" s="17" t="inlineStr">
        <is>
          <t>Chin J Physiol</t>
        </is>
      </c>
      <c r="F28" s="17" t="n">
        <v>2011</v>
      </c>
      <c r="G28" s="17" t="n"/>
      <c r="H28" s="17">
        <f>COUNTIFS(Experiments!$G$2:$G$79,A28,Experiments!$T$2:$T$79,"yes")</f>
        <v/>
      </c>
      <c r="I28" s="2" t="inlineStr">
        <is>
          <t>Liu H, Sun H, Liu C. Interference of the apoptotic signaling pathway in RGC stress response by SP600125 in moderate ocular hypertensive rats. Chin J Physiol. 2011;54:124–32.</t>
        </is>
      </c>
    </row>
    <row r="29" ht="28" customHeight="1">
      <c r="A29" s="17" t="n">
        <v>110</v>
      </c>
      <c r="B29" s="17" t="inlineStr">
        <is>
          <t>Sun et al., 2011</t>
        </is>
      </c>
      <c r="C29" s="2" t="inlineStr">
        <is>
          <t>Sun H, Wang Y, Pang I-H, Shen J, Tang X, Li Y, et al</t>
        </is>
      </c>
      <c r="D29" s="2" t="inlineStr">
        <is>
          <t>Protective effect of a JNK inhibitor against retinal ganglion cell loss induced by acute moderate ocular hypertension</t>
        </is>
      </c>
      <c r="E29" s="17" t="inlineStr">
        <is>
          <t>Mol Vis</t>
        </is>
      </c>
      <c r="F29" s="17" t="n">
        <v>2011</v>
      </c>
      <c r="G29" s="17" t="n"/>
      <c r="H29" s="17">
        <f>COUNTIFS(Experiments!$G$2:$G$79,A29,Experiments!$T$2:$T$79,"yes")</f>
        <v/>
      </c>
      <c r="I29" s="2" t="inlineStr">
        <is>
          <t>Sun H, Wang Y, Pang I-H, Shen J, Tang X, Li Y, et al. Protective effect of a JNK inhibitor against retinal ganglion cell loss induced by acute moderate ocular hypertension. Mol Vis. 2011;17:864–75.</t>
        </is>
      </c>
    </row>
    <row r="30" ht="42" customHeight="1">
      <c r="A30" s="17" t="n">
        <v>111</v>
      </c>
      <c r="B30" s="17" t="inlineStr">
        <is>
          <t>Kim et al., 2016</t>
        </is>
      </c>
      <c r="C30" s="2" t="inlineStr">
        <is>
          <t>Kim B-J, Silverman SM, Liu Y, Wordinger RJ, Pang I-H, Clark AF</t>
        </is>
      </c>
      <c r="D30" s="2" t="inlineStr">
        <is>
          <t>In vitro and in vivo neuroprotective effects of cJun N-terminal kinase inhibitors on retinal ganglion cells</t>
        </is>
      </c>
      <c r="E30" s="17" t="inlineStr">
        <is>
          <t>Molecular Neurodegeneration</t>
        </is>
      </c>
      <c r="F30" s="17" t="n">
        <v>2016</v>
      </c>
      <c r="G30" s="17" t="inlineStr">
        <is>
          <t>https://doi.org/10.1186/s13024-016-0093-4</t>
        </is>
      </c>
      <c r="H30" s="17">
        <f>COUNTIFS(Experiments!$G$2:$G$79,A30,Experiments!$T$2:$T$79,"yes")</f>
        <v/>
      </c>
      <c r="I30" s="2" t="inlineStr">
        <is>
          <t>Kim B-J, Silverman SM, Liu Y, Wordinger RJ, Pang I-H, Clark AF. In vitro and in vivo neuroprotective effects of cJun N-terminal kinase inhibitors on retinal ganglion cells. Molecular Neurodegeneration. 2016;11:30.</t>
        </is>
      </c>
    </row>
    <row r="31" ht="42" customHeight="1">
      <c r="A31" s="17" t="n">
        <v>112</v>
      </c>
      <c r="B31" s="17" t="inlineStr">
        <is>
          <t>Wang et al., 2021</t>
        </is>
      </c>
      <c r="C31" s="2" t="inlineStr">
        <is>
          <t>Wang Y, Chen S, Wang J, Liu Y, Chen Y, Wen T, et al</t>
        </is>
      </c>
      <c r="D31" s="2" t="inlineStr">
        <is>
          <t>MicroRNA-93/STAT3 signalling pathway mediates retinal microglial activation and protects retinal ganglion cells in an acute ocular hypertension model</t>
        </is>
      </c>
      <c r="E31" s="17" t="inlineStr">
        <is>
          <t>Cell Death Dis</t>
        </is>
      </c>
      <c r="F31" s="17" t="n">
        <v>2021</v>
      </c>
      <c r="G31" s="17" t="inlineStr">
        <is>
          <t>https://doi.org/10.1038/s41419-020-03337-5</t>
        </is>
      </c>
      <c r="H31" s="17">
        <f>COUNTIFS(Experiments!$G$2:$G$79,A31,Experiments!$T$2:$T$79,"yes")</f>
        <v/>
      </c>
      <c r="I31" s="2" t="inlineStr">
        <is>
          <t>Wang Y, Chen S, Wang J, Liu Y, Chen Y, Wen T, et al. MicroRNA-93/STAT3 signalling pathway mediates retinal microglial activation and protects retinal ganglion cells in an acute ocular hypertension model. Cell Death Dis. 2021;12:41.</t>
        </is>
      </c>
    </row>
    <row r="32" ht="42" customHeight="1">
      <c r="A32" s="17" t="n">
        <v>113</v>
      </c>
      <c r="B32" s="17" t="inlineStr">
        <is>
          <t>Husain et al., 2021</t>
        </is>
      </c>
      <c r="C32" s="2" t="inlineStr">
        <is>
          <t>Husain S, Zaidi SAH, Singh S, Guzman W, Mehrotra S</t>
        </is>
      </c>
      <c r="D32" s="2" t="inlineStr">
        <is>
          <t>Reduction of Neuroinflammation by δ-Opioids Via STAT3-Dependent Pathway in Chronic Glaucoma Model</t>
        </is>
      </c>
      <c r="E32" s="17" t="inlineStr">
        <is>
          <t>Front Pharmacol</t>
        </is>
      </c>
      <c r="F32" s="17" t="n">
        <v>2021</v>
      </c>
      <c r="G32" s="17" t="inlineStr">
        <is>
          <t>https://doi.org/10.3389/fphar.2021.601404</t>
        </is>
      </c>
      <c r="H32" s="17">
        <f>COUNTIFS(Experiments!$G$2:$G$79,A32,Experiments!$T$2:$T$79,"yes")</f>
        <v/>
      </c>
      <c r="I32" s="2" t="inlineStr">
        <is>
          <t>Husain S, Zaidi SAH, Singh S, Guzman W, Mehrotra S. Reduction of Neuroinflammation by δ-Opioids Via STAT3-Dependent Pathway in Chronic Glaucoma Model. Front Pharmacol. 2021;12:601404.</t>
        </is>
      </c>
    </row>
    <row r="33" ht="42" customHeight="1">
      <c r="A33" s="17" t="n">
        <v>115</v>
      </c>
      <c r="B33" s="17" t="inlineStr">
        <is>
          <t>Guan et al., 2025</t>
        </is>
      </c>
      <c r="C33" s="2" t="inlineStr">
        <is>
          <t>Guan C, Zhang L, Fomo KN, Yang J, Pfeiffer N, Grus FH</t>
        </is>
      </c>
      <c r="D33" s="2" t="inlineStr">
        <is>
          <t>Targeting glial fibrillary acidic protein in glaucoma: a monoclonal antibody approach to modulate glial reactivity and neuroinflammation for neuroprotection</t>
        </is>
      </c>
      <c r="E33" s="17" t="inlineStr">
        <is>
          <t>J Neuroinflammation</t>
        </is>
      </c>
      <c r="F33" s="17" t="n">
        <v>2025</v>
      </c>
      <c r="G33" s="17" t="inlineStr">
        <is>
          <t>https://doi.org/10.1186/s12974-025-03482-8</t>
        </is>
      </c>
      <c r="H33" s="17">
        <f>COUNTIFS(Experiments!$G$2:$G$79,A33,Experiments!$T$2:$T$79,"yes")</f>
        <v/>
      </c>
      <c r="I33" s="2" t="inlineStr">
        <is>
          <t>Guan C, Zhang L, Fomo KN, Yang J, Pfeiffer N, Grus FH. Targeting glial fibrillary acidic protein in glaucoma: a monoclonal antibody approach to modulate glial reactivity and neuroinflammation for neuroprotection. J Neuroinflammation. 2025;22:159.</t>
        </is>
      </c>
    </row>
    <row r="34" ht="42" customHeight="1">
      <c r="A34" s="17" t="n">
        <v>116</v>
      </c>
      <c r="B34" s="17" t="inlineStr">
        <is>
          <t>Baptiste et al., 2005</t>
        </is>
      </c>
      <c r="C34" s="2" t="inlineStr">
        <is>
          <t>Baptiste DC, Powell KJ, Jollimore C a</t>
        </is>
      </c>
      <c r="D34" s="2" t="inlineStr">
        <is>
          <t>B, Hamilton C, LeVatte TL, Archibald ML, et al</t>
        </is>
      </c>
      <c r="E34" s="17" t="inlineStr">
        <is>
          <t>Effects of minocycline and tetracycline on retinal ganglion cell survival after axotomy</t>
        </is>
      </c>
      <c r="F34" s="17" t="n">
        <v>2005</v>
      </c>
      <c r="G34" s="17" t="inlineStr">
        <is>
          <t>https://doi.org/10.1016/j.neuroscience.2005.04.011</t>
        </is>
      </c>
      <c r="H34" s="17">
        <f>COUNTIFS(Experiments!$G$2:$G$79,A34,Experiments!$T$2:$T$79,"yes")</f>
        <v/>
      </c>
      <c r="I34" s="2" t="inlineStr">
        <is>
          <t>Baptiste DC, Powell KJ, Jollimore C a. B, Hamilton C, LeVatte TL, Archibald ML, et al. Effects of minocycline and tetracycline on retinal ganglion cell survival after axotomy. Neuroscience. 2005;134:575–82.</t>
        </is>
      </c>
    </row>
    <row r="35" ht="28" customHeight="1">
      <c r="A35" s="17" t="n">
        <v>117</v>
      </c>
      <c r="B35" s="17" t="inlineStr">
        <is>
          <t>Shimazawa et al., 2005</t>
        </is>
      </c>
      <c r="C35" s="2" t="inlineStr">
        <is>
          <t>Shimazawa M, Yamashima T, Agarwal N, Hara H</t>
        </is>
      </c>
      <c r="D35" s="2" t="inlineStr">
        <is>
          <t>Neuroprotective effects of minocycline against in vitro and in vivo retinal ganglion cell damage</t>
        </is>
      </c>
      <c r="E35" s="17" t="inlineStr">
        <is>
          <t>Brain Research</t>
        </is>
      </c>
      <c r="F35" s="17" t="n">
        <v>2005</v>
      </c>
      <c r="G35" s="17" t="inlineStr">
        <is>
          <t>https://doi.org/10.1016/j.brainres.2005.06.053</t>
        </is>
      </c>
      <c r="H35" s="17">
        <f>COUNTIFS(Experiments!$G$2:$G$79,A35,Experiments!$T$2:$T$79,"yes")</f>
        <v/>
      </c>
      <c r="I35" s="2" t="inlineStr">
        <is>
          <t>Shimazawa M, Yamashima T, Agarwal N, Hara H. Neuroprotective effects of minocycline against in vitro and in vivo retinal ganglion cell damage. Brain Research. 2005;1053:185–94.</t>
        </is>
      </c>
    </row>
    <row r="36" ht="42" customHeight="1">
      <c r="A36" s="17" t="n">
        <v>118</v>
      </c>
      <c r="B36" s="17" t="inlineStr">
        <is>
          <t>Bosco et al., 2008</t>
        </is>
      </c>
      <c r="C36" s="2" t="inlineStr">
        <is>
          <t>Bosco A, Inman DM, Steele MR, Wu G, Soto I, Marsh-Armstrong N, et al</t>
        </is>
      </c>
      <c r="D36" s="2" t="inlineStr">
        <is>
          <t>Reduced Retina Microglial Activation and Improved Optic Nerve Integrity with Minocycline Treatment in the DBA/2J Mouse Model of Glaucoma</t>
        </is>
      </c>
      <c r="E36" s="17" t="inlineStr">
        <is>
          <t>Invest Ophthalmol Vis Sci</t>
        </is>
      </c>
      <c r="F36" s="17" t="n">
        <v>2008</v>
      </c>
      <c r="G36" s="17" t="inlineStr">
        <is>
          <t>https://doi.org/10.1167/iovs.07-1337</t>
        </is>
      </c>
      <c r="H36" s="17">
        <f>COUNTIFS(Experiments!$G$2:$G$79,A36,Experiments!$T$2:$T$79,"yes")</f>
        <v/>
      </c>
      <c r="I36" s="2" t="inlineStr">
        <is>
          <t>Bosco A, Inman DM, Steele MR, Wu G, Soto I, Marsh-Armstrong N, et al. Reduced Retina Microglial Activation and Improved Optic Nerve Integrity with Minocycline Treatment in the DBA/2J Mouse Model of Glaucoma. Invest Ophthalmol Vis Sci. 2008;49:1437–46.</t>
        </is>
      </c>
    </row>
    <row r="37" ht="42" customHeight="1">
      <c r="A37" s="17" t="n">
        <v>120</v>
      </c>
      <c r="B37" s="17" t="inlineStr">
        <is>
          <t>Levkovitch-Verbin et al., 2014</t>
        </is>
      </c>
      <c r="C37" s="2" t="inlineStr">
        <is>
          <t>Levkovitch-Verbin H, Waserzoog Y, Vander S, Makarovsky D, Ilia P</t>
        </is>
      </c>
      <c r="D37" s="2" t="inlineStr">
        <is>
          <t>Minocycline mechanism of neuroprotection involves the Bcl-2 gene family in optic nerve transection</t>
        </is>
      </c>
      <c r="E37" s="17" t="inlineStr">
        <is>
          <t>International Journal of Neuroscience</t>
        </is>
      </c>
      <c r="F37" s="17" t="n">
        <v>2014</v>
      </c>
      <c r="G37" s="17" t="inlineStr">
        <is>
          <t>https://doi.org/10.3109/00207454.2013.878340</t>
        </is>
      </c>
      <c r="H37" s="17">
        <f>COUNTIFS(Experiments!$G$2:$G$79,A37,Experiments!$T$2:$T$79,"yes")</f>
        <v/>
      </c>
      <c r="I37" s="2" t="inlineStr">
        <is>
          <t>Levkovitch-Verbin H, Waserzoog Y, Vander S, Makarovsky D, Ilia P. Minocycline mechanism of neuroprotection involves the Bcl-2 gene family in optic nerve transection. International Journal of Neuroscience. Taylor &amp; Francis; 2014;124:755–61.</t>
        </is>
      </c>
    </row>
    <row r="38" ht="42" customHeight="1">
      <c r="A38" s="17" t="n">
        <v>121</v>
      </c>
      <c r="B38" s="17" t="inlineStr">
        <is>
          <t>Grotegut et al., 2020</t>
        </is>
      </c>
      <c r="C38" s="2" t="inlineStr">
        <is>
          <t>Grotegut P, Perumal N, Kuehn S, Smit A, Dick HB, Grus FH, et al</t>
        </is>
      </c>
      <c r="D38" s="2" t="inlineStr">
        <is>
          <t>Minocycline reduces inflammatory response and cell death in a S100B retina degeneration model</t>
        </is>
      </c>
      <c r="E38" s="17" t="inlineStr">
        <is>
          <t>Journal of Neuroinflammation</t>
        </is>
      </c>
      <c r="F38" s="17" t="n">
        <v>2020</v>
      </c>
      <c r="G38" s="17" t="inlineStr">
        <is>
          <t>https://doi.org/10.1186/s12974-020-02012-y</t>
        </is>
      </c>
      <c r="H38" s="17">
        <f>COUNTIFS(Experiments!$G$2:$G$79,A38,Experiments!$T$2:$T$79,"yes")</f>
        <v/>
      </c>
      <c r="I38" s="2" t="inlineStr">
        <is>
          <t>Grotegut P, Perumal N, Kuehn S, Smit A, Dick HB, Grus FH, et al. Minocycline reduces inflammatory response and cell death in a S100B retina degeneration model. Journal of Neuroinflammation. 2020;17:375.</t>
        </is>
      </c>
    </row>
    <row r="39" ht="42" customHeight="1">
      <c r="A39" s="17" t="n">
        <v>122</v>
      </c>
      <c r="B39" s="17" t="inlineStr">
        <is>
          <t>Sánchez-Migallón et al., 2024</t>
        </is>
      </c>
      <c r="C39" s="2" t="inlineStr">
        <is>
          <t>Sánchez-Migallón MDC, Di Pierdomenico J, Gallego-Ortega A, García-Ayuso D, Vidal-Sanz M, Agudo-Barriuso M, et al</t>
        </is>
      </c>
      <c r="D39" s="2" t="inlineStr">
        <is>
          <t>Minocycline Administration Does Not Have an Effect on Retinal Ganglion Cell Survival in a Murine Model of Ocular Hypertension</t>
        </is>
      </c>
      <c r="E39" s="17" t="inlineStr">
        <is>
          <t>Aging Dis</t>
        </is>
      </c>
      <c r="F39" s="17" t="n">
        <v>2024</v>
      </c>
      <c r="G39" s="17" t="inlineStr">
        <is>
          <t>https://doi.org/10.14336/AD.2024.0224</t>
        </is>
      </c>
      <c r="H39" s="17">
        <f>COUNTIFS(Experiments!$G$2:$G$79,A39,Experiments!$T$2:$T$79,"yes")</f>
        <v/>
      </c>
      <c r="I39" s="2" t="inlineStr">
        <is>
          <t>Sánchez-Migallón MDC, Di Pierdomenico J, Gallego-Ortega A, García-Ayuso D, Vidal-Sanz M, Agudo-Barriuso M, et al. Minocycline Administration Does Not Have an Effect on Retinal Ganglion Cell Survival in a Murine Model of Ocular Hypertension. Aging Dis. 2024;15:2241–54.</t>
        </is>
      </c>
    </row>
    <row r="40" ht="42" customHeight="1">
      <c r="A40" s="17" t="n">
        <v>124</v>
      </c>
      <c r="B40" s="17" t="inlineStr">
        <is>
          <t>Quillen et al., 2024</t>
        </is>
      </c>
      <c r="C40" s="2" t="inlineStr">
        <is>
          <t>Quillen SE, Kimball EC, Ritter-Gordy KA, Du L, Yuan Z, Pease ME, et al</t>
        </is>
      </c>
      <c r="D40" s="2" t="inlineStr">
        <is>
          <t>The Mechanisms of Neuroprotection by Topical Rho Kinase Inhibition in Experimental Mouse Glaucoma and Optic Neuropathy</t>
        </is>
      </c>
      <c r="E40" s="17" t="inlineStr">
        <is>
          <t>Invest Ophthalmol Vis Sci</t>
        </is>
      </c>
      <c r="F40" s="17" t="n">
        <v>2024</v>
      </c>
      <c r="G40" s="17" t="inlineStr">
        <is>
          <t>https://doi.org/10.1167/iovs.65.13.43</t>
        </is>
      </c>
      <c r="H40" s="17">
        <f>COUNTIFS(Experiments!$G$2:$G$79,A40,Experiments!$T$2:$T$79,"yes")</f>
        <v/>
      </c>
      <c r="I40" s="2" t="inlineStr">
        <is>
          <t>Quillen SE, Kimball EC, Ritter-Gordy KA, Du L, Yuan Z, Pease ME, et al. The Mechanisms of Neuroprotection by Topical Rho Kinase Inhibition in Experimental Mouse Glaucoma and Optic Neuropathy. Invest Ophthalmol Vis Sci. 2024;65:43.</t>
        </is>
      </c>
    </row>
    <row r="41" ht="42" customHeight="1">
      <c r="A41" s="17" t="n">
        <v>125</v>
      </c>
      <c r="B41" s="17" t="inlineStr">
        <is>
          <t>Yamamoto et al., 2014</t>
        </is>
      </c>
      <c r="C41" s="2" t="inlineStr">
        <is>
          <t>Yamamoto K, Maruyama K, Himori N, Omodaka K, Yokoyama Y, Shiga Y, et al</t>
        </is>
      </c>
      <c r="D41" s="2" t="inlineStr">
        <is>
          <t>The Novel Rho Kinase (ROCK) Inhibitor K-115: A New Candidate Drug for Neuroprotective Treatment in Glaucoma</t>
        </is>
      </c>
      <c r="E41" s="17" t="inlineStr">
        <is>
          <t>Invest Ophthalmol Vis Sci</t>
        </is>
      </c>
      <c r="F41" s="17" t="n">
        <v>2014</v>
      </c>
      <c r="G41" s="17" t="inlineStr">
        <is>
          <t>https://doi.org/10.1167/iovs.13-13842</t>
        </is>
      </c>
      <c r="H41" s="17">
        <f>COUNTIFS(Experiments!$G$2:$G$79,A41,Experiments!$T$2:$T$79,"yes")</f>
        <v/>
      </c>
      <c r="I41" s="2" t="inlineStr">
        <is>
          <t>Yamamoto K, Maruyama K, Himori N, Omodaka K, Yokoyama Y, Shiga Y, et al. The Novel Rho Kinase (ROCK) Inhibitor K-115: A New Candidate Drug for Neuroprotective Treatment in Glaucoma. Invest Ophthalmol Vis Sci. 2014;55:7126–36.</t>
        </is>
      </c>
    </row>
    <row r="42" ht="42" customHeight="1">
      <c r="A42" s="17" t="n">
        <v>126</v>
      </c>
      <c r="B42" s="17" t="inlineStr">
        <is>
          <t>Tokushige et al., 2011</t>
        </is>
      </c>
      <c r="C42" s="2" t="inlineStr">
        <is>
          <t>Tokushige H, Waki M, Takayama Y, Tanihara H</t>
        </is>
      </c>
      <c r="D42" s="2" t="inlineStr">
        <is>
          <t>Effects of Y-39983, a Selective Rho-Associated Protein Kinase Inhibitor, on Blood Flow in Optic Nerve Head in Rabbits and Axonal Regeneration of Retinal Ganglion Cells in Rats</t>
        </is>
      </c>
      <c r="E42" s="17" t="inlineStr">
        <is>
          <t>Current Eye Research</t>
        </is>
      </c>
      <c r="F42" s="17" t="n">
        <v>2011</v>
      </c>
      <c r="G42" s="17" t="inlineStr">
        <is>
          <t>https://doi.org/10.3109/02713683.2011.599106</t>
        </is>
      </c>
      <c r="H42" s="17">
        <f>COUNTIFS(Experiments!$G$2:$G$79,A42,Experiments!$T$2:$T$79,"yes")</f>
        <v/>
      </c>
      <c r="I42" s="2" t="inlineStr">
        <is>
          <t>Tokushige H, Waki M, Takayama Y, Tanihara H. Effects of Y-39983, a Selective Rho-Associated Protein Kinase Inhibitor, on Blood Flow in Optic Nerve Head in Rabbits and Axonal Regeneration of Retinal Ganglion Cells in Rats. Current Eye Research. Taylor &amp; Francis; 2011;36:964–70.</t>
        </is>
      </c>
    </row>
    <row r="43" ht="42" customHeight="1">
      <c r="A43" s="17" t="n">
        <v>128</v>
      </c>
      <c r="B43" s="17" t="inlineStr">
        <is>
          <t>Cueva Vargas et al., 2016</t>
        </is>
      </c>
      <c r="C43" s="2" t="inlineStr">
        <is>
          <t>Cueva Vargas JL, Belforte N, Di Polo A</t>
        </is>
      </c>
      <c r="D43" s="2" t="inlineStr">
        <is>
          <t>The glial cell modulator ibudilast attenuates neuroinflammation and enhances retinal ganglion cell viability in glaucoma through protein kinase A signaling</t>
        </is>
      </c>
      <c r="E43" s="17" t="inlineStr">
        <is>
          <t>Neurobiology of Disease</t>
        </is>
      </c>
      <c r="F43" s="17" t="n">
        <v>2016</v>
      </c>
      <c r="G43" s="17" t="inlineStr">
        <is>
          <t>https://doi.org/10.1016/j.nbd.2016.05.002</t>
        </is>
      </c>
      <c r="H43" s="17">
        <f>COUNTIFS(Experiments!$G$2:$G$79,A43,Experiments!$T$2:$T$79,"yes")</f>
        <v/>
      </c>
      <c r="I43" s="2" t="inlineStr">
        <is>
          <t>Cueva Vargas JL, Belforte N, Di Polo A. The glial cell modulator ibudilast attenuates neuroinflammation and enhances retinal ganglion cell viability in glaucoma through protein kinase A signaling. Neurobiology of Disease. 2016;93:156–71.</t>
        </is>
      </c>
    </row>
    <row r="44" ht="42" customHeight="1">
      <c r="A44" s="17" t="n">
        <v>129</v>
      </c>
      <c r="B44" s="17" t="inlineStr">
        <is>
          <t>Wareham et al., 2019</t>
        </is>
      </c>
      <c r="C44" s="2" t="inlineStr">
        <is>
          <t>Wareham LK, Dordea AC, Schleifer G, Yao V, Batten A, Fei F, et al</t>
        </is>
      </c>
      <c r="D44" s="2" t="inlineStr">
        <is>
          <t>Increased Bioavailability of Cyclic Guanylate Monophosphate Prevents Retinal Ganglion Cell Degeneration</t>
        </is>
      </c>
      <c r="E44" s="17" t="inlineStr">
        <is>
          <t>Neurobiol Dis</t>
        </is>
      </c>
      <c r="F44" s="17" t="n">
        <v>2019</v>
      </c>
      <c r="G44" s="17" t="inlineStr">
        <is>
          <t>https://doi.org/10.1016/j.nbd.2018.09.002</t>
        </is>
      </c>
      <c r="H44" s="17">
        <f>COUNTIFS(Experiments!$G$2:$G$79,A44,Experiments!$T$2:$T$79,"yes")</f>
        <v/>
      </c>
      <c r="I44" s="2" t="inlineStr">
        <is>
          <t>Wareham LK, Dordea AC, Schleifer G, Yao V, Batten A, Fei F, et al. Increased Bioavailability of Cyclic Guanylate Monophosphate Prevents Retinal Ganglion Cell Degeneration. Neurobiol Dis. 2019;121:65–75.</t>
        </is>
      </c>
    </row>
    <row r="45" ht="42" customHeight="1">
      <c r="A45" s="17" t="n">
        <v>130</v>
      </c>
      <c r="B45" s="17" t="inlineStr">
        <is>
          <t>Hirooka et al., 2004</t>
        </is>
      </c>
      <c r="C45" s="2" t="inlineStr">
        <is>
          <t>Hirooka K, Tokuda M, Miyamoto O, Itano T, Baba T, Shiraga F</t>
        </is>
      </c>
      <c r="D45" s="2" t="inlineStr">
        <is>
          <t>The Ginkgo biloba extract (EGb 761) provides a neuroprotective effect on retinal ganglion cells in a rat model of chronic glaucoma</t>
        </is>
      </c>
      <c r="E45" s="17" t="inlineStr">
        <is>
          <t>Current Eye Research</t>
        </is>
      </c>
      <c r="F45" s="17" t="n">
        <v>2004</v>
      </c>
      <c r="G45" s="17" t="inlineStr">
        <is>
          <t>https://doi.org/10.1076/ceyr.28.3.153.26246</t>
        </is>
      </c>
      <c r="H45" s="17">
        <f>COUNTIFS(Experiments!$G$2:$G$79,A45,Experiments!$T$2:$T$79,"yes")</f>
        <v/>
      </c>
      <c r="I45" s="2" t="inlineStr">
        <is>
          <t>Hirooka K, Tokuda M, Miyamoto O, Itano T, Baba T, Shiraga F. The Ginkgo biloba extract (EGb 761) provides a neuroprotective effect on retinal ganglion cells in a rat model of chronic glaucoma. Current Eye Research. Taylor &amp; Francis; 2004;28:153–7.</t>
        </is>
      </c>
    </row>
    <row r="46" ht="28" customHeight="1">
      <c r="A46" s="17" t="n">
        <v>131</v>
      </c>
      <c r="B46" s="17" t="inlineStr">
        <is>
          <t>Ma et al., 2009</t>
        </is>
      </c>
      <c r="C46" s="2" t="inlineStr">
        <is>
          <t>Ma K, Xu L, Zhan H, Zhang S, Pu M, Jonas JB</t>
        </is>
      </c>
      <c r="D46" s="2" t="inlineStr">
        <is>
          <t>Dosage dependence of the effect of Ginkgo biloba on the rat retinal ganglion cell survival after optic nerve crush</t>
        </is>
      </c>
      <c r="E46" s="17" t="inlineStr">
        <is>
          <t>Eye (Lond)</t>
        </is>
      </c>
      <c r="F46" s="17" t="n">
        <v>2009</v>
      </c>
      <c r="G46" s="17" t="inlineStr">
        <is>
          <t>https://doi.org/10.1038/eye.2008.286</t>
        </is>
      </c>
      <c r="H46" s="17">
        <f>COUNTIFS(Experiments!$G$2:$G$79,A46,Experiments!$T$2:$T$79,"yes")</f>
        <v/>
      </c>
      <c r="I46" s="2" t="inlineStr">
        <is>
          <t>Ma K, Xu L, Zhan H, Zhang S, Pu M, Jonas JB. Dosage dependence of the effect of Ginkgo biloba on the rat retinal ganglion cell survival after optic nerve crush. Eye (Lond). 2009;23:1598–604.</t>
        </is>
      </c>
    </row>
    <row r="47" ht="28" customHeight="1">
      <c r="A47" s="17" t="n">
        <v>132</v>
      </c>
      <c r="B47" s="17" t="inlineStr">
        <is>
          <t>Ma et al., 2010</t>
        </is>
      </c>
      <c r="C47" s="2" t="inlineStr">
        <is>
          <t>Ma K, Xu L, Zhang H, Zhang S, Pu M, Jonas JB</t>
        </is>
      </c>
      <c r="D47" s="2" t="inlineStr">
        <is>
          <t>The effect of ginkgo biloba on the rat retinal ganglion cell survival in the optic nerve crush model</t>
        </is>
      </c>
      <c r="E47" s="17" t="inlineStr">
        <is>
          <t>Acta Ophthalmol</t>
        </is>
      </c>
      <c r="F47" s="17" t="n">
        <v>2010</v>
      </c>
      <c r="G47" s="17" t="inlineStr">
        <is>
          <t>https://doi.org/10.1111/j.1755-3768.2008.01486.x</t>
        </is>
      </c>
      <c r="H47" s="17">
        <f>COUNTIFS(Experiments!$G$2:$G$79,A47,Experiments!$T$2:$T$79,"yes")</f>
        <v/>
      </c>
      <c r="I47" s="2" t="inlineStr">
        <is>
          <t>Ma K, Xu L, Zhang H, Zhang S, Pu M, Jonas JB. The effect of ginkgo biloba on the rat retinal ganglion cell survival in the optic nerve crush model. Acta Ophthalmol. 2010;88:553–7.</t>
        </is>
      </c>
    </row>
    <row r="48" ht="42" customHeight="1">
      <c r="A48" s="17" t="n">
        <v>133</v>
      </c>
      <c r="B48" s="17" t="inlineStr">
        <is>
          <t>Fan et al., 2021</t>
        </is>
      </c>
      <c r="C48" s="2" t="inlineStr">
        <is>
          <t>Fan X-X, Cao Z-Y, Liu M-X, Liu W-J, Xu Z-L, Tu P-F, et al</t>
        </is>
      </c>
      <c r="D48" s="2" t="inlineStr">
        <is>
          <t>Diterpene Ginkgolides Meglumine Injection inhibits apoptosis induced by optic nerve crush injury via modulating MAPKs signaling pathways in retinal ganglion cells</t>
        </is>
      </c>
      <c r="E48" s="17" t="inlineStr">
        <is>
          <t>J Ethnopharmacol</t>
        </is>
      </c>
      <c r="F48" s="17" t="n">
        <v>2021</v>
      </c>
      <c r="G48" s="17" t="inlineStr">
        <is>
          <t>https://doi.org/10.1016/j.jep.2021.114371</t>
        </is>
      </c>
      <c r="H48" s="17">
        <f>COUNTIFS(Experiments!$G$2:$G$79,A48,Experiments!$T$2:$T$79,"yes")</f>
        <v/>
      </c>
      <c r="I48" s="2" t="inlineStr">
        <is>
          <t>Fan X-X, Cao Z-Y, Liu M-X, Liu W-J, Xu Z-L, Tu P-F, et al. Diterpene Ginkgolides Meglumine Injection inhibits apoptosis induced by optic nerve crush injury via modulating MAPKs signaling pathways in retinal ganglion cells. J Ethnopharmacol. 2021;279:114371.</t>
        </is>
      </c>
    </row>
    <row r="49" ht="28" customHeight="1">
      <c r="A49" s="17" t="n">
        <v>135</v>
      </c>
      <c r="B49" s="17" t="inlineStr">
        <is>
          <t>Yang et al., 2016</t>
        </is>
      </c>
      <c r="C49" s="2" t="inlineStr">
        <is>
          <t>Yang X, Hondur G, Tezel G</t>
        </is>
      </c>
      <c r="D49" s="2" t="inlineStr">
        <is>
          <t>Antioxidant Treatment Limits Neuroinflammation in Experimental Glaucoma</t>
        </is>
      </c>
      <c r="E49" s="17" t="inlineStr">
        <is>
          <t>Invest Ophthalmol Vis Sci</t>
        </is>
      </c>
      <c r="F49" s="17" t="n">
        <v>2016</v>
      </c>
      <c r="G49" s="17" t="inlineStr">
        <is>
          <t>https://doi.org/10.1167/iovs.16-19153</t>
        </is>
      </c>
      <c r="H49" s="17">
        <f>COUNTIFS(Experiments!$G$2:$G$79,A49,Experiments!$T$2:$T$79,"yes")</f>
        <v/>
      </c>
      <c r="I49" s="2" t="inlineStr">
        <is>
          <t>Yang X, Hondur G, Tezel G. Antioxidant Treatment Limits Neuroinflammation in Experimental Glaucoma. Invest Ophthalmol Vis Sci. 2016;57:2344–54.</t>
        </is>
      </c>
    </row>
    <row r="50" ht="42" customHeight="1">
      <c r="A50" s="17" t="n">
        <v>136</v>
      </c>
      <c r="B50" s="17" t="inlineStr">
        <is>
          <t>Thaler et al., 2011</t>
        </is>
      </c>
      <c r="C50" s="2" t="inlineStr">
        <is>
          <t>Thaler S, Fiedorowicz M, Grieb P, Wypych Z, Knap N, Borowik T, et al</t>
        </is>
      </c>
      <c r="D50" s="2" t="inlineStr">
        <is>
          <t>Neuroprotective effects of tempol acyl esters against retinal ganglion cell death in a rat partial optic nerve crush model</t>
        </is>
      </c>
      <c r="E50" s="17" t="inlineStr">
        <is>
          <t>Acta Ophthalmol</t>
        </is>
      </c>
      <c r="F50" s="17" t="n">
        <v>2011</v>
      </c>
      <c r="G50" s="17" t="inlineStr">
        <is>
          <t>https://doi.org/10.1111/j.1755-3768.2011.02180.x</t>
        </is>
      </c>
      <c r="H50" s="17">
        <f>COUNTIFS(Experiments!$G$2:$G$79,A50,Experiments!$T$2:$T$79,"yes")</f>
        <v/>
      </c>
      <c r="I50" s="2" t="inlineStr">
        <is>
          <t>Thaler S, Fiedorowicz M, Grieb P, Wypych Z, Knap N, Borowik T, et al. Neuroprotective effects of tempol acyl esters against retinal ganglion cell death in a rat partial optic nerve crush model. Acta Ophthalmol. 2011;89:e555-560.</t>
        </is>
      </c>
    </row>
    <row r="51" ht="28" customHeight="1">
      <c r="A51" s="17" t="n">
        <v>137</v>
      </c>
      <c r="B51" s="17" t="inlineStr">
        <is>
          <t>Kyung et al., 2015</t>
        </is>
      </c>
      <c r="C51" s="2" t="inlineStr">
        <is>
          <t>Kyung H, Kwong JMK, Bekerman V, Gu L, Yadegari D, Caprioli J, et al</t>
        </is>
      </c>
      <c r="D51" s="2" t="inlineStr">
        <is>
          <t>Celastrol supports survival of retinal ganglion cells injured by optic nerve crush</t>
        </is>
      </c>
      <c r="E51" s="17" t="inlineStr">
        <is>
          <t>Brain Research</t>
        </is>
      </c>
      <c r="F51" s="17" t="n">
        <v>2015</v>
      </c>
      <c r="G51" s="17" t="inlineStr">
        <is>
          <t>https://doi.org/10.1016/j.brainres.2015.03.032</t>
        </is>
      </c>
      <c r="H51" s="17">
        <f>COUNTIFS(Experiments!$G$2:$G$79,A51,Experiments!$T$2:$T$79,"yes")</f>
        <v/>
      </c>
      <c r="I51" s="2" t="inlineStr">
        <is>
          <t>Kyung H, Kwong JMK, Bekerman V, Gu L, Yadegari D, Caprioli J, et al. Celastrol supports survival of retinal ganglion cells injured by optic nerve crush. Brain Research. 2015;1609:21–30.</t>
        </is>
      </c>
    </row>
    <row r="52" ht="28" customHeight="1">
      <c r="A52" s="17" t="n">
        <v>138</v>
      </c>
      <c r="B52" s="17" t="inlineStr">
        <is>
          <t>Gu et al., 2018</t>
        </is>
      </c>
      <c r="C52" s="2" t="inlineStr">
        <is>
          <t>Gu L, Kwong JMK, Yadegari D, Yu F, Caprioli J, Piri N</t>
        </is>
      </c>
      <c r="D52" s="2" t="inlineStr">
        <is>
          <t>The effect of celastrol on the ocular hypertension-induced degeneration of retinal ganglion cells</t>
        </is>
      </c>
      <c r="E52" s="17" t="inlineStr">
        <is>
          <t>Neurosci Lett</t>
        </is>
      </c>
      <c r="F52" s="17" t="n">
        <v>2018</v>
      </c>
      <c r="G52" s="17" t="inlineStr">
        <is>
          <t>https://doi.org/10.1016/j.neulet.2018.01.043</t>
        </is>
      </c>
      <c r="H52" s="17">
        <f>COUNTIFS(Experiments!$G$2:$G$79,A52,Experiments!$T$2:$T$79,"yes")</f>
        <v/>
      </c>
      <c r="I52" s="2" t="inlineStr">
        <is>
          <t>Gu L, Kwong JMK, Yadegari D, Yu F, Caprioli J, Piri N. The effect of celastrol on the ocular hypertension-induced degeneration of retinal ganglion cells. Neurosci Lett. 2018;670:89–93.</t>
        </is>
      </c>
    </row>
    <row r="53" ht="28" customHeight="1">
      <c r="A53" s="17" t="n">
        <v>139</v>
      </c>
      <c r="B53" s="17" t="inlineStr">
        <is>
          <t>Pan et al., 2022</t>
        </is>
      </c>
      <c r="C53" s="2" t="inlineStr">
        <is>
          <t>Pan L, Sze YH, Yang M, Tang J, Zhao S, Yi I, et al</t>
        </is>
      </c>
      <c r="D53" s="2" t="inlineStr">
        <is>
          <t>Baicalein—A Potent Pro-Homeostatic Regulator of Microglia in Retinal Ischemic Injury</t>
        </is>
      </c>
      <c r="E53" s="17" t="inlineStr">
        <is>
          <t>Front Immunol</t>
        </is>
      </c>
      <c r="F53" s="17" t="n">
        <v>2022</v>
      </c>
      <c r="G53" s="17" t="inlineStr">
        <is>
          <t>https://doi.org/10.3389/fimmu.2022.837497</t>
        </is>
      </c>
      <c r="H53" s="17">
        <f>COUNTIFS(Experiments!$G$2:$G$79,A53,Experiments!$T$2:$T$79,"yes")</f>
        <v/>
      </c>
      <c r="I53" s="2" t="inlineStr">
        <is>
          <t>Pan L, Sze YH, Yang M, Tang J, Zhao S, Yi I, et al. Baicalein—A Potent Pro-Homeostatic Regulator of Microglia in Retinal Ischemic Injury. Front Immunol. 2022;13:837497.</t>
        </is>
      </c>
    </row>
    <row r="54" ht="42" customHeight="1">
      <c r="A54" s="17" t="n">
        <v>140</v>
      </c>
      <c r="B54" s="17" t="inlineStr">
        <is>
          <t>Gallego-Ortega et al., 2021</t>
        </is>
      </c>
      <c r="C54" s="2" t="inlineStr">
        <is>
          <t>Gallego-Ortega A, Vidal-Villegas B, Norte-Muñoz M, Salinas-Navarro M, Avilés-Trigueros M, Villegas-Pérez MP, et al</t>
        </is>
      </c>
      <c r="D54" s="2" t="inlineStr">
        <is>
          <t>7,8-Dihydroxiflavone Maintains Retinal Functionality and Protects Various Types of RGCs in Adult Rats with Optic Nerve Transection</t>
        </is>
      </c>
      <c r="E54" s="17" t="inlineStr">
        <is>
          <t>Int J Mol Sci</t>
        </is>
      </c>
      <c r="F54" s="17" t="n">
        <v>2021</v>
      </c>
      <c r="G54" s="17" t="inlineStr">
        <is>
          <t>https://doi.org/10.3390/ijms222111815</t>
        </is>
      </c>
      <c r="H54" s="17">
        <f>COUNTIFS(Experiments!$G$2:$G$79,A54,Experiments!$T$2:$T$79,"yes")</f>
        <v/>
      </c>
      <c r="I54" s="2" t="inlineStr">
        <is>
          <t>Gallego-Ortega A, Vidal-Villegas B, Norte-Muñoz M, Salinas-Navarro M, Avilés-Trigueros M, Villegas-Pérez MP, et al. 7,8-Dihydroxiflavone Maintains Retinal Functionality and Protects Various Types of RGCs in Adult Rats with Optic Nerve Transection. Int J Mol Sci. 2021;22:11815.</t>
        </is>
      </c>
    </row>
    <row r="55" ht="42" customHeight="1">
      <c r="A55" s="17" t="n">
        <v>141</v>
      </c>
      <c r="B55" s="17" t="inlineStr">
        <is>
          <t>Chen et al., 2021</t>
        </is>
      </c>
      <c r="C55" s="2" t="inlineStr">
        <is>
          <t>Chen J, Li H, Yang C, He Y, Arai T, Huang Q, et al</t>
        </is>
      </c>
      <c r="D55" s="2" t="inlineStr">
        <is>
          <t>Citrus Naringenin Increases Neuron Survival in Optic Nerve Crush Injury Model by Inhibiting JNK-JUN Pathway</t>
        </is>
      </c>
      <c r="E55" s="17" t="inlineStr">
        <is>
          <t>International Journal of Molecular Sciences</t>
        </is>
      </c>
      <c r="F55" s="17" t="n">
        <v>2021</v>
      </c>
      <c r="G55" s="17" t="inlineStr">
        <is>
          <t>https://doi.org/10.3390/ijms23010385</t>
        </is>
      </c>
      <c r="H55" s="17">
        <f>COUNTIFS(Experiments!$G$2:$G$79,A55,Experiments!$T$2:$T$79,"yes")</f>
        <v/>
      </c>
      <c r="I55" s="2" t="inlineStr">
        <is>
          <t>Chen J, Li H, Yang C, He Y, Arai T, Huang Q, et al. Citrus Naringenin Increases Neuron Survival in Optic Nerve Crush Injury Model by Inhibiting JNK-JUN Pathway. International Journal of Molecular Sciences. 2021;23:385.</t>
        </is>
      </c>
    </row>
    <row r="56" ht="28" customHeight="1">
      <c r="A56" s="17" t="n">
        <v>142</v>
      </c>
      <c r="B56" s="17" t="inlineStr">
        <is>
          <t>Liu et al., 2016</t>
        </is>
      </c>
      <c r="C56" s="2" t="inlineStr">
        <is>
          <t>Liu R, Wang Y, Pu M, Gao J</t>
        </is>
      </c>
      <c r="D56" s="2" t="inlineStr">
        <is>
          <t>Effect of alpha lipoic acid on retinal ganglion cell survival in an optic nerve crush model</t>
        </is>
      </c>
      <c r="E56" s="17" t="inlineStr">
        <is>
          <t>Mol Vis</t>
        </is>
      </c>
      <c r="F56" s="17" t="n">
        <v>2016</v>
      </c>
      <c r="G56" s="17" t="n"/>
      <c r="H56" s="17">
        <f>COUNTIFS(Experiments!$G$2:$G$79,A56,Experiments!$T$2:$T$79,"yes")</f>
        <v/>
      </c>
      <c r="I56" s="2" t="inlineStr">
        <is>
          <t>Liu R, Wang Y, Pu M, Gao J. Effect of alpha lipoic acid on retinal ganglion cell survival in an optic nerve crush model. Mol Vis. 2016;22:1122–36.</t>
        </is>
      </c>
    </row>
    <row r="57" ht="28" customHeight="1">
      <c r="A57" s="17" t="n">
        <v>143</v>
      </c>
      <c r="B57" s="17" t="inlineStr">
        <is>
          <t>Inman et al., 2013</t>
        </is>
      </c>
      <c r="C57" s="2" t="inlineStr">
        <is>
          <t>Inman DM, Lambert WS, Calkins DJ, Horner PJ</t>
        </is>
      </c>
      <c r="D57" s="2" t="inlineStr">
        <is>
          <t>α-Lipoic acid antioxidant treatment limits glaucoma-related retinal ganglion cell death and dysfunction</t>
        </is>
      </c>
      <c r="E57" s="17" t="inlineStr">
        <is>
          <t>PLoS One</t>
        </is>
      </c>
      <c r="F57" s="17" t="n">
        <v>2013</v>
      </c>
      <c r="G57" s="17" t="inlineStr">
        <is>
          <t>https://doi.org/10.1371/journal.pone.0065389</t>
        </is>
      </c>
      <c r="H57" s="17">
        <f>COUNTIFS(Experiments!$G$2:$G$79,A57,Experiments!$T$2:$T$79,"yes")</f>
        <v/>
      </c>
      <c r="I57" s="2" t="inlineStr">
        <is>
          <t>Inman DM, Lambert WS, Calkins DJ, Horner PJ. α-Lipoic acid antioxidant treatment limits glaucoma-related retinal ganglion cell death and dysfunction. PLoS One. 2013;8:e65389.</t>
        </is>
      </c>
    </row>
    <row r="58" ht="42" customHeight="1">
      <c r="A58" s="17" t="n">
        <v>144</v>
      </c>
      <c r="B58" s="17" t="inlineStr">
        <is>
          <t>Kim et al., 2014</t>
        </is>
      </c>
      <c r="C58" s="2" t="inlineStr">
        <is>
          <t>Kim S, Shim M, Kim K-Y, Weinreb R, Wheeler L, Ju W-K</t>
        </is>
      </c>
      <c r="D58" s="2" t="inlineStr">
        <is>
          <t>Inhibition of cyclophilin D by cyclosporin A promotes retinal ganglion cell survival by preventing mitochondrial alteration in ischemic injury</t>
        </is>
      </c>
      <c r="E58" s="17" t="inlineStr">
        <is>
          <t>Cell death &amp; disease</t>
        </is>
      </c>
      <c r="F58" s="17" t="n">
        <v>2014</v>
      </c>
      <c r="G58" s="17" t="inlineStr">
        <is>
          <t>https://doi.org/10.1038/cddis.2014.80</t>
        </is>
      </c>
      <c r="H58" s="17">
        <f>COUNTIFS(Experiments!$G$2:$G$79,A58,Experiments!$T$2:$T$79,"yes")</f>
        <v/>
      </c>
      <c r="I58" s="2" t="inlineStr">
        <is>
          <t>Kim S, Shim M, Kim K-Y, Weinreb R, Wheeler L, Ju W-K. Inhibition of cyclophilin D by cyclosporin A promotes retinal ganglion cell survival by preventing mitochondrial alteration in ischemic injury. Cell death &amp; disease. 2014;5:e1105.</t>
        </is>
      </c>
    </row>
    <row r="59" ht="42" customHeight="1">
      <c r="A59" s="17" t="n">
        <v>146</v>
      </c>
      <c r="B59" s="17" t="inlineStr">
        <is>
          <t>Cui et al., 2007</t>
        </is>
      </c>
      <c r="C59" s="2" t="inlineStr">
        <is>
          <t>Cui Q, Hodgetts SI, Hu Y, Luo J-M, Harvey AR</t>
        </is>
      </c>
      <c r="D59" s="2" t="inlineStr">
        <is>
          <t>Strain-specific differences in the effects of cyclosporin A and FK506 on the survival and regeneration of axotomized retinal ganglion cells in adult rats</t>
        </is>
      </c>
      <c r="E59" s="17" t="inlineStr">
        <is>
          <t>Neuroscience</t>
        </is>
      </c>
      <c r="F59" s="17" t="n">
        <v>2007</v>
      </c>
      <c r="G59" s="17" t="inlineStr">
        <is>
          <t>https://doi.org/10.1016/j.neuroscience.2007.02.034</t>
        </is>
      </c>
      <c r="H59" s="17">
        <f>COUNTIFS(Experiments!$G$2:$G$79,A59,Experiments!$T$2:$T$79,"yes")</f>
        <v/>
      </c>
      <c r="I59" s="2" t="inlineStr">
        <is>
          <t>Cui Q, Hodgetts SI, Hu Y, Luo J-M, Harvey AR. Strain-specific differences in the effects of cyclosporin A and FK506 on the survival and regeneration of axotomized retinal ganglion cells in adult rats. Neuroscience. 2007;146:986–99.</t>
        </is>
      </c>
    </row>
    <row r="60" ht="42" customHeight="1">
      <c r="A60" s="17" t="n">
        <v>147</v>
      </c>
      <c r="B60" s="17" t="inlineStr">
        <is>
          <t>Nadal-Nicolás et al., 2016</t>
        </is>
      </c>
      <c r="C60" s="2" t="inlineStr">
        <is>
          <t>Nadal-Nicolás FM, Rodriguez-Villagra E, Bravo-Osuna I, Sobrado-Calvo P, Molina-Martínez I, Villegas-Pérez MP, et al</t>
        </is>
      </c>
      <c r="D60" s="2" t="inlineStr">
        <is>
          <t>Ketorolac Administration Attenuates Retinal Ganglion Cell Death After Axonal Injury</t>
        </is>
      </c>
      <c r="E60" s="17" t="inlineStr">
        <is>
          <t>Invest Ophthalmol Vis Sci</t>
        </is>
      </c>
      <c r="F60" s="17" t="n">
        <v>2016</v>
      </c>
      <c r="G60" s="17" t="inlineStr">
        <is>
          <t>https://doi.org/10.1167/iovs.15-18213</t>
        </is>
      </c>
      <c r="H60" s="17">
        <f>COUNTIFS(Experiments!$G$2:$G$79,A60,Experiments!$T$2:$T$79,"yes")</f>
        <v/>
      </c>
      <c r="I60" s="2" t="inlineStr">
        <is>
          <t>Nadal-Nicolás FM, Rodriguez-Villagra E, Bravo-Osuna I, Sobrado-Calvo P, Molina-Martínez I, Villegas-Pérez MP, et al. Ketorolac Administration Attenuates Retinal Ganglion Cell Death After Axonal Injury. Invest Ophthalmol Vis Sci. 2016;57:1183–92.</t>
        </is>
      </c>
    </row>
    <row r="61" ht="28" customHeight="1">
      <c r="A61" s="17" t="n">
        <v>149</v>
      </c>
      <c r="B61" s="17" t="inlineStr">
        <is>
          <t>Liu et al., 2016</t>
        </is>
      </c>
      <c r="C61" s="2" t="inlineStr">
        <is>
          <t>Liu X, Huang P, Wang J, Yang Z, Huang S, Luo X, et al</t>
        </is>
      </c>
      <c r="D61" s="2" t="inlineStr">
        <is>
          <t>The Effect of A2A Receptor Antagonist on Microglial Activation in Experimental Glaucoma</t>
        </is>
      </c>
      <c r="E61" s="17" t="inlineStr">
        <is>
          <t>Invest Ophthalmol Vis Sci</t>
        </is>
      </c>
      <c r="F61" s="17" t="n">
        <v>2016</v>
      </c>
      <c r="G61" s="17" t="inlineStr">
        <is>
          <t>https://doi.org/10.1167/iovs.15-18024</t>
        </is>
      </c>
      <c r="H61" s="17">
        <f>COUNTIFS(Experiments!$G$2:$G$79,A61,Experiments!$T$2:$T$79,"yes")</f>
        <v/>
      </c>
      <c r="I61" s="2" t="inlineStr">
        <is>
          <t>Liu X, Huang P, Wang J, Yang Z, Huang S, Luo X, et al. The Effect of A2A Receptor Antagonist on Microglial Activation in Experimental Glaucoma. Invest Ophthalmol Vis Sci. 2016;57:776–86.</t>
        </is>
      </c>
    </row>
    <row r="62" ht="56" customHeight="1">
      <c r="A62" s="17" t="n">
        <v>150</v>
      </c>
      <c r="B62" s="17" t="inlineStr">
        <is>
          <t>Madeira et al., 2016</t>
        </is>
      </c>
      <c r="C62" s="2" t="inlineStr">
        <is>
          <t>Madeira MH, Boia R, Elvas F, Martins T, Cunha RA, Ambrósio AF, et al</t>
        </is>
      </c>
      <c r="D62" s="2" t="inlineStr">
        <is>
          <t>Selective A2A receptor antagonist prevents microglia-mediated neuroinflammation and protects retinal ganglion cells from high intraocular pressure–induced transient ischemic injury</t>
        </is>
      </c>
      <c r="E62" s="17" t="inlineStr">
        <is>
          <t>Translational Research</t>
        </is>
      </c>
      <c r="F62" s="17" t="n">
        <v>2016</v>
      </c>
      <c r="G62" s="17" t="inlineStr">
        <is>
          <t>https://doi.org/10.1016/j.trsl.2015.11.005</t>
        </is>
      </c>
      <c r="H62" s="17">
        <f>COUNTIFS(Experiments!$G$2:$G$79,A62,Experiments!$T$2:$T$79,"yes")</f>
        <v/>
      </c>
      <c r="I62" s="2" t="inlineStr">
        <is>
          <t>Madeira MH, Boia R, Elvas F, Martins T, Cunha RA, Ambrósio AF, et al. Selective A2A receptor antagonist prevents microglia-mediated neuroinflammation and protects retinal ganglion cells from high intraocular pressure–induced transient ischemic injury. Translational Research. 2016;169:112–28.</t>
        </is>
      </c>
    </row>
    <row r="63" ht="42" customHeight="1">
      <c r="A63" s="17" t="n">
        <v>151</v>
      </c>
      <c r="B63" s="17" t="inlineStr">
        <is>
          <t>Boia et al., 2017</t>
        </is>
      </c>
      <c r="C63" s="2" t="inlineStr">
        <is>
          <t>Boia R, Elvas F, Madeira MH, Aires ID, Rodrigues-Neves AC, Tralhão P, et al</t>
        </is>
      </c>
      <c r="D63" s="2" t="inlineStr">
        <is>
          <t>Treatment with A2A receptor antagonist KW6002 and caffeine intake regulate microglia reactivity and protect retina against transient ischemic damage</t>
        </is>
      </c>
      <c r="E63" s="17" t="inlineStr">
        <is>
          <t>Cell Death Dis</t>
        </is>
      </c>
      <c r="F63" s="17" t="n">
        <v>2017</v>
      </c>
      <c r="G63" s="17" t="inlineStr">
        <is>
          <t>https://doi.org/10.1038/cddis.2017.451</t>
        </is>
      </c>
      <c r="H63" s="17">
        <f>COUNTIFS(Experiments!$G$2:$G$79,A63,Experiments!$T$2:$T$79,"yes")</f>
        <v/>
      </c>
      <c r="I63" s="2" t="inlineStr">
        <is>
          <t>Boia R, Elvas F, Madeira MH, Aires ID, Rodrigues-Neves AC, Tralhão P, et al. Treatment with A2A receptor antagonist KW6002 and caffeine intake regulate microglia reactivity and protect retina against transient ischemic damage. Cell Death Dis. 2017;8:e3065.</t>
        </is>
      </c>
    </row>
    <row r="64" ht="42" customHeight="1">
      <c r="A64" s="17" t="n">
        <v>152</v>
      </c>
      <c r="B64" s="17" t="inlineStr">
        <is>
          <t>Varano et al., 2017</t>
        </is>
      </c>
      <c r="C64" s="2" t="inlineStr">
        <is>
          <t>Varano GP, Parisi V, Adornetto A, Cavaliere F, Amantea D, Nucci C, et al</t>
        </is>
      </c>
      <c r="D64" s="2" t="inlineStr">
        <is>
          <t>Post-ischemic treatment with azithromycin protects ganglion cells against retinal ischemia/reperfusion injury in the rat</t>
        </is>
      </c>
      <c r="E64" s="17" t="inlineStr">
        <is>
          <t>Mol Vis</t>
        </is>
      </c>
      <c r="F64" s="17" t="n">
        <v>2017</v>
      </c>
      <c r="G64" s="17" t="n"/>
      <c r="H64" s="17">
        <f>COUNTIFS(Experiments!$G$2:$G$79,A64,Experiments!$T$2:$T$79,"yes")</f>
        <v/>
      </c>
      <c r="I64" s="2" t="inlineStr">
        <is>
          <t>Varano GP, Parisi V, Adornetto A, Cavaliere F, Amantea D, Nucci C, et al. Post-ischemic treatment with azithromycin protects ganglion cells against retinal ischemia/reperfusion injury in the rat. Mol Vis. 2017;23:911–21.</t>
        </is>
      </c>
    </row>
    <row r="65" ht="56" customHeight="1">
      <c r="A65" s="17" t="n">
        <v>153</v>
      </c>
      <c r="B65" s="17" t="inlineStr">
        <is>
          <t>Sela et al., 2023</t>
        </is>
      </c>
      <c r="C65" s="2" t="inlineStr">
        <is>
          <t>Sela TC, Zahavi A, Friedman-Gohas M, Weiss S, Sternfeld A, Ilguisonis A, et al</t>
        </is>
      </c>
      <c r="D65" s="2" t="inlineStr">
        <is>
          <t>Azithromycin and Sildenafil May Have Protective Effects on Retinal Ganglion Cells via Different Pathways: Study in a Rodent Microbead Model</t>
        </is>
      </c>
      <c r="E65" s="17" t="inlineStr">
        <is>
          <t>Pharmaceuticals</t>
        </is>
      </c>
      <c r="F65" s="17" t="n">
        <v>2023</v>
      </c>
      <c r="G65" s="17" t="inlineStr">
        <is>
          <t>https://doi.org/10.3390/ph16040486</t>
        </is>
      </c>
      <c r="H65" s="17">
        <f>COUNTIFS(Experiments!$G$2:$G$79,A65,Experiments!$T$2:$T$79,"yes")</f>
        <v/>
      </c>
      <c r="I65" s="2" t="inlineStr">
        <is>
          <t>Sela TC, Zahavi A, Friedman-Gohas M, Weiss S, Sternfeld A, Ilguisonis A, et al. Azithromycin and Sildenafil May Have Protective Effects on Retinal Ganglion Cells via Different Pathways: Study in a Rodent Microbead Model. Pharmaceuticals. Multidisciplinary Digital Publishing Institute; 2023;16:486.</t>
        </is>
      </c>
    </row>
    <row r="66" ht="56" customHeight="1">
      <c r="A66" s="17" t="n">
        <v>154</v>
      </c>
      <c r="B66" s="17" t="inlineStr">
        <is>
          <t>Zloto et al., 2022</t>
        </is>
      </c>
      <c r="C66" s="2" t="inlineStr">
        <is>
          <t>Zloto O, Zahavi A, Richard S, Friedman-Gohas M, Weiss S, Goldenberg-Cohen N</t>
        </is>
      </c>
      <c r="D66" s="2" t="inlineStr">
        <is>
          <t>Neuroprotective Effect of Azithromycin Following Induction of Optic Nerve Crush in Wild Type and Immunodeficient Mice</t>
        </is>
      </c>
      <c r="E66" s="17" t="inlineStr">
        <is>
          <t>International Journal of Molecular Sciences</t>
        </is>
      </c>
      <c r="F66" s="17" t="n">
        <v>2022</v>
      </c>
      <c r="G66" s="17" t="inlineStr">
        <is>
          <t>https://doi.org/10.3390/ijms231911872</t>
        </is>
      </c>
      <c r="H66" s="17">
        <f>COUNTIFS(Experiments!$G$2:$G$79,A66,Experiments!$T$2:$T$79,"yes")</f>
        <v/>
      </c>
      <c r="I66" s="2" t="inlineStr">
        <is>
          <t>Zloto O, Zahavi A, Richard S, Friedman-Gohas M, Weiss S, Goldenberg-Cohen N. Neuroprotective Effect of Azithromycin Following Induction of Optic Nerve Crush in Wild Type and Immunodeficient Mice. International Journal of Molecular Sciences. Multidisciplinary Digital Publishing Institute; 2022;23:11872.</t>
        </is>
      </c>
    </row>
  </sheetData>
  <autoFilter ref="A1:I66"/>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2026-10-18T15:15:36Z</dcterms:created>
  <dcterms:modified xmlns:dcterms="http://purl.org/dc/terms/" xmlns:xsi="http://www.w3.org/2001/XMLSchema-instance" xsi:type="dcterms:W3CDTF">2026-10-22T10:38:18Z</dcterms:modified>
  <cp:lastModifiedBy>Polina MALAHOV</cp:lastModifiedBy>
  <cp:revision>0</cp:revision>
</cp:coreProperties>
</file>